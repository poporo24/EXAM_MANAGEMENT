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ICSLIS Dean Files\Curriculum - For Contents Noting\"/>
    </mc:Choice>
  </mc:AlternateContent>
  <xr:revisionPtr revIDLastSave="0" documentId="13_ncr:1_{DF457E65-32BA-414D-9F56-26BBAB9566C1}" xr6:coauthVersionLast="47" xr6:coauthVersionMax="47" xr10:uidLastSave="{00000000-0000-0000-0000-000000000000}"/>
  <bookViews>
    <workbookView xWindow="37680" yWindow="2175" windowWidth="29040" windowHeight="15720" activeTab="1" xr2:uid="{00000000-000D-0000-FFFF-FFFF00000000}"/>
  </bookViews>
  <sheets>
    <sheet name="BSCS - FOR PRINTING" sheetId="12" r:id="rId1"/>
    <sheet name="By Category" sheetId="13" r:id="rId2"/>
    <sheet name="Sheet1" sheetId="11" r:id="rId3"/>
    <sheet name="2018-2019" sheetId="15" r:id="rId4"/>
    <sheet name="2019-2020" sheetId="14" r:id="rId5"/>
    <sheet name="2020-2021" sheetId="16" r:id="rId6"/>
  </sheets>
  <definedNames>
    <definedName name="_xlnm.Print_Area" localSheetId="3">'2018-2019'!$A$1:$F$133</definedName>
    <definedName name="_xlnm.Print_Area" localSheetId="4">'2019-2020'!$A$1:$F$133</definedName>
    <definedName name="_xlnm.Print_Area" localSheetId="5">'2020-2021'!$A$1:$F$133</definedName>
    <definedName name="_xlnm.Print_Area" localSheetId="0">'BSCS - FOR PRINTING'!$A$1:$F$133</definedName>
    <definedName name="_xlnm.Print_Area" localSheetId="1">'By Category'!$A$1:$F$113</definedName>
    <definedName name="_xlnm.Print_Titles" localSheetId="3">'2018-2019'!$1:$6</definedName>
    <definedName name="_xlnm.Print_Titles" localSheetId="4">'2019-2020'!$1:$6</definedName>
    <definedName name="_xlnm.Print_Titles" localSheetId="5">'2020-2021'!$1:$6</definedName>
    <definedName name="_xlnm.Print_Titles" localSheetId="0">'BSCS - FOR PRINTING'!$1:$6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7" i="13" l="1"/>
  <c r="C111" i="16"/>
  <c r="E83" i="16"/>
  <c r="E79" i="16"/>
  <c r="E78" i="16"/>
  <c r="E77" i="16"/>
  <c r="E76" i="16"/>
  <c r="E80" i="16" s="1"/>
  <c r="E71" i="16"/>
  <c r="E70" i="16"/>
  <c r="E69" i="16"/>
  <c r="E64" i="16"/>
  <c r="E63" i="16"/>
  <c r="E61" i="16"/>
  <c r="E60" i="16"/>
  <c r="E67" i="16" s="1"/>
  <c r="E57" i="16"/>
  <c r="E55" i="16"/>
  <c r="E54" i="16"/>
  <c r="E53" i="16"/>
  <c r="E50" i="16"/>
  <c r="E46" i="16"/>
  <c r="E42" i="16"/>
  <c r="E48" i="16" s="1"/>
  <c r="E41" i="16"/>
  <c r="E36" i="16"/>
  <c r="E34" i="16"/>
  <c r="E33" i="16"/>
  <c r="E31" i="16"/>
  <c r="E25" i="16"/>
  <c r="E24" i="16"/>
  <c r="E23" i="16"/>
  <c r="E21" i="16"/>
  <c r="E14" i="16"/>
  <c r="E13" i="16"/>
  <c r="E12" i="16"/>
  <c r="E11" i="16"/>
  <c r="C111" i="15"/>
  <c r="E83" i="15"/>
  <c r="E79" i="15"/>
  <c r="E78" i="15"/>
  <c r="E77" i="15"/>
  <c r="E76" i="15"/>
  <c r="E71" i="15"/>
  <c r="E70" i="15"/>
  <c r="E69" i="15"/>
  <c r="E72" i="15" s="1"/>
  <c r="E64" i="15"/>
  <c r="E63" i="15"/>
  <c r="E61" i="15"/>
  <c r="E60" i="15"/>
  <c r="E57" i="15"/>
  <c r="E55" i="15"/>
  <c r="E54" i="15"/>
  <c r="E53" i="15"/>
  <c r="E50" i="15"/>
  <c r="E58" i="15" s="1"/>
  <c r="E48" i="15"/>
  <c r="E46" i="15"/>
  <c r="E42" i="15"/>
  <c r="E41" i="15"/>
  <c r="E36" i="15"/>
  <c r="E34" i="15"/>
  <c r="E33" i="15"/>
  <c r="E31" i="15"/>
  <c r="E38" i="15" s="1"/>
  <c r="E25" i="15"/>
  <c r="E24" i="15"/>
  <c r="E23" i="15"/>
  <c r="E21" i="15"/>
  <c r="E14" i="15"/>
  <c r="E13" i="15"/>
  <c r="E12" i="15"/>
  <c r="E11" i="15"/>
  <c r="E17" i="15" s="1"/>
  <c r="C111" i="14"/>
  <c r="E83" i="14"/>
  <c r="E79" i="14"/>
  <c r="E78" i="14"/>
  <c r="E77" i="14"/>
  <c r="E76" i="14"/>
  <c r="E71" i="14"/>
  <c r="E70" i="14"/>
  <c r="E69" i="14"/>
  <c r="E64" i="14"/>
  <c r="E63" i="14"/>
  <c r="E61" i="14"/>
  <c r="E60" i="14"/>
  <c r="E57" i="14"/>
  <c r="E55" i="14"/>
  <c r="E54" i="14"/>
  <c r="E53" i="14"/>
  <c r="E58" i="14" s="1"/>
  <c r="E50" i="14"/>
  <c r="E46" i="14"/>
  <c r="E42" i="14"/>
  <c r="E41" i="14"/>
  <c r="E36" i="14"/>
  <c r="E34" i="14"/>
  <c r="E33" i="14"/>
  <c r="E31" i="14"/>
  <c r="E38" i="14" s="1"/>
  <c r="E25" i="14"/>
  <c r="E24" i="14"/>
  <c r="E23" i="14"/>
  <c r="E21" i="14"/>
  <c r="E14" i="14"/>
  <c r="E13" i="14"/>
  <c r="E12" i="14"/>
  <c r="E11" i="14"/>
  <c r="E17" i="14" s="1"/>
  <c r="E111" i="15" l="1"/>
  <c r="E67" i="15"/>
  <c r="E28" i="16"/>
  <c r="E80" i="14"/>
  <c r="E17" i="16"/>
  <c r="E38" i="16"/>
  <c r="E58" i="16"/>
  <c r="E48" i="14"/>
  <c r="E111" i="14" s="1"/>
  <c r="E67" i="14"/>
  <c r="E72" i="16"/>
  <c r="E72" i="14"/>
  <c r="E28" i="14"/>
  <c r="E28" i="15"/>
  <c r="E80" i="15"/>
  <c r="E24" i="12"/>
  <c r="C111" i="12"/>
  <c r="C93" i="13"/>
  <c r="C91" i="13"/>
  <c r="C90" i="13"/>
  <c r="E78" i="13"/>
  <c r="E73" i="13"/>
  <c r="E66" i="13"/>
  <c r="E65" i="13"/>
  <c r="E67" i="13"/>
  <c r="E62" i="13"/>
  <c r="E61" i="13"/>
  <c r="E60" i="13"/>
  <c r="E59" i="13"/>
  <c r="E58" i="13"/>
  <c r="E57" i="13"/>
  <c r="E56" i="13"/>
  <c r="E55" i="13"/>
  <c r="E63" i="13" s="1"/>
  <c r="E54" i="13"/>
  <c r="E45" i="13"/>
  <c r="E4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C94" i="13" s="1"/>
  <c r="E18" i="13"/>
  <c r="E17" i="13"/>
  <c r="E15" i="13"/>
  <c r="E46" i="13"/>
  <c r="C87" i="13"/>
  <c r="E79" i="12"/>
  <c r="E77" i="12"/>
  <c r="E76" i="12"/>
  <c r="E71" i="12"/>
  <c r="E70" i="12"/>
  <c r="E69" i="12"/>
  <c r="E72" i="12" s="1"/>
  <c r="E63" i="12"/>
  <c r="E53" i="12"/>
  <c r="E61" i="12"/>
  <c r="E60" i="12"/>
  <c r="E67" i="12" s="1"/>
  <c r="E57" i="12"/>
  <c r="E54" i="12"/>
  <c r="E50" i="12"/>
  <c r="E58" i="12" s="1"/>
  <c r="E42" i="12"/>
  <c r="E48" i="12" s="1"/>
  <c r="E41" i="12"/>
  <c r="E36" i="12"/>
  <c r="E34" i="12"/>
  <c r="E33" i="12"/>
  <c r="E31" i="12"/>
  <c r="E38" i="12" s="1"/>
  <c r="E25" i="12"/>
  <c r="E46" i="12"/>
  <c r="E23" i="12"/>
  <c r="E28" i="12" s="1"/>
  <c r="E21" i="12"/>
  <c r="E14" i="12"/>
  <c r="E13" i="12"/>
  <c r="E12" i="12"/>
  <c r="E11" i="12"/>
  <c r="E83" i="12"/>
  <c r="E78" i="12"/>
  <c r="E80" i="12"/>
  <c r="E64" i="12"/>
  <c r="E55" i="12"/>
  <c r="E17" i="12"/>
  <c r="E111" i="12" l="1"/>
  <c r="C98" i="13"/>
  <c r="E111" i="16"/>
  <c r="E34" i="13"/>
  <c r="E98" i="13" s="1"/>
</calcChain>
</file>

<file path=xl/sharedStrings.xml><?xml version="1.0" encoding="utf-8"?>
<sst xmlns="http://schemas.openxmlformats.org/spreadsheetml/2006/main" count="1384" uniqueCount="218">
  <si>
    <t>CITY COLLEGE OF ANGELES</t>
  </si>
  <si>
    <t>INSTITUTE OF COMPUTING STUDIES AND LIBRARY INFORMATION SCIENCE</t>
  </si>
  <si>
    <t>Bachelor of Science in Computer Science</t>
  </si>
  <si>
    <t>SUBJECT CODE</t>
  </si>
  <si>
    <t>SUBJECT DESCRIPTION</t>
  </si>
  <si>
    <t>LEC UNITS</t>
  </si>
  <si>
    <t>LAB UNITS</t>
  </si>
  <si>
    <t>CREDIT UNITS</t>
  </si>
  <si>
    <t>PREREQUISITE(S)</t>
  </si>
  <si>
    <t>FIRST YEAR - FIRST SEMESTER</t>
  </si>
  <si>
    <t>6INTROCOM</t>
  </si>
  <si>
    <t>Introduction to Computing</t>
  </si>
  <si>
    <t>6PROGFUN</t>
  </si>
  <si>
    <t>Fundamentals of Programming</t>
  </si>
  <si>
    <t>UNDSELF</t>
  </si>
  <si>
    <t>Understanding the Self</t>
  </si>
  <si>
    <t>STS</t>
  </si>
  <si>
    <t>Science, Technology, and Society</t>
  </si>
  <si>
    <t>PURCOMM</t>
  </si>
  <si>
    <t>Purposive Communication</t>
  </si>
  <si>
    <t>MATHMW</t>
  </si>
  <si>
    <t>Mathematics in the Modern World</t>
  </si>
  <si>
    <t>NSTP1</t>
  </si>
  <si>
    <t>(3)</t>
  </si>
  <si>
    <t>TOTAL</t>
  </si>
  <si>
    <t>FIRST YEAR - SECOND SEMESTER</t>
  </si>
  <si>
    <t>6ADPROG</t>
  </si>
  <si>
    <t>Intermediate Programming</t>
  </si>
  <si>
    <t>Business Communication</t>
  </si>
  <si>
    <t>7DISTRU1</t>
  </si>
  <si>
    <t>Discrete Structures 1</t>
  </si>
  <si>
    <t>7HCOMINT</t>
  </si>
  <si>
    <t>Human Computer Interaction</t>
  </si>
  <si>
    <t>Pre-Calculus (Algebra and Trigonometry)</t>
  </si>
  <si>
    <t>ETHICS</t>
  </si>
  <si>
    <t>Ethics</t>
  </si>
  <si>
    <t>NSTP2</t>
  </si>
  <si>
    <t>SECOND YEAR - FIRST SEMESTER</t>
  </si>
  <si>
    <t>6DATAS</t>
  </si>
  <si>
    <t>Data Structures and Algorithms</t>
  </si>
  <si>
    <t>6INFOMAN</t>
  </si>
  <si>
    <t>Information Management</t>
  </si>
  <si>
    <t>7SOFENG1</t>
  </si>
  <si>
    <t>Software Engineering 1</t>
  </si>
  <si>
    <t>READPHILHIS</t>
  </si>
  <si>
    <t>Readings in Philippine History</t>
  </si>
  <si>
    <t>SECOND YEAR - SECOND SEMESTER</t>
  </si>
  <si>
    <t>6APPDEV</t>
  </si>
  <si>
    <t>Application Development and Emerging Technologies</t>
  </si>
  <si>
    <t>7OOP</t>
  </si>
  <si>
    <t>Object-Oriented Programming</t>
  </si>
  <si>
    <t>7SOFENG2</t>
  </si>
  <si>
    <t>Software Engineering 2</t>
  </si>
  <si>
    <t>Web Programming 1</t>
  </si>
  <si>
    <t>Statistics and Probability</t>
  </si>
  <si>
    <t>KAPCUL</t>
  </si>
  <si>
    <t>Kapampangan Culture</t>
  </si>
  <si>
    <t>CONTWORLD</t>
  </si>
  <si>
    <t>The Contemporary World</t>
  </si>
  <si>
    <t>PE3</t>
  </si>
  <si>
    <t>THIRD YEAR - FIRST SEMESTER</t>
  </si>
  <si>
    <t>7ALCOM</t>
  </si>
  <si>
    <t>Algorithms and Complexity</t>
  </si>
  <si>
    <t>7NET1</t>
  </si>
  <si>
    <t>7PROGLANG</t>
  </si>
  <si>
    <t>Programming Languages</t>
  </si>
  <si>
    <t>Web Programming 2</t>
  </si>
  <si>
    <t>Recommended Professional Elective 1</t>
  </si>
  <si>
    <t>THIRD YEAR - SECOND SEMESTER</t>
  </si>
  <si>
    <t>Automata Theory and Formal Languages</t>
  </si>
  <si>
    <t>7THESIS1</t>
  </si>
  <si>
    <t>Thesis Writing 1</t>
  </si>
  <si>
    <t>Recommended Professional Elective 2</t>
  </si>
  <si>
    <t>RIZAL</t>
  </si>
  <si>
    <t>Life and Works of Rizal</t>
  </si>
  <si>
    <t>THIRD YEAR - SUMMER</t>
  </si>
  <si>
    <t>7OSYS</t>
  </si>
  <si>
    <t>Operating Systems</t>
  </si>
  <si>
    <t>7INFOSEC</t>
  </si>
  <si>
    <t>Information Assurance and Security</t>
  </si>
  <si>
    <t>FOURTH YEAR - FIRST SEMESTER</t>
  </si>
  <si>
    <t>Digital Logic Design</t>
  </si>
  <si>
    <t>Innovative Technology and Management</t>
  </si>
  <si>
    <t>7THESIS2</t>
  </si>
  <si>
    <t>Thesis Writing 2</t>
  </si>
  <si>
    <t>Recommended Professional Elective 3</t>
  </si>
  <si>
    <t>7SOCPRO</t>
  </si>
  <si>
    <t>Social Issues and Professional Practices</t>
  </si>
  <si>
    <t>ARTAPP</t>
  </si>
  <si>
    <t>Art Appreciation</t>
  </si>
  <si>
    <t>FOURTH YEAR - SECOND SEMESTER</t>
  </si>
  <si>
    <t>RECOMMENDED PROFESSIONAL ELECTIVES</t>
  </si>
  <si>
    <t>7MODSIM</t>
  </si>
  <si>
    <t>Modeling and Simulation</t>
  </si>
  <si>
    <t>Graphics and Visual Computing</t>
  </si>
  <si>
    <t>7PDCOM</t>
  </si>
  <si>
    <t>Parallel and Distributed Computing</t>
  </si>
  <si>
    <t>7INTELSYS</t>
  </si>
  <si>
    <t>Intelligent Systems</t>
  </si>
  <si>
    <t>COLLEGE REQUIREMENT</t>
  </si>
  <si>
    <t>Practicum (500 hours)</t>
  </si>
  <si>
    <t>CWTS1 (Environmental Education and Awareness Program)</t>
  </si>
  <si>
    <t>CWTS2 (Project Development &amp; Implementation: Community Immersion)</t>
  </si>
  <si>
    <t>PE4</t>
  </si>
  <si>
    <t>PE2</t>
  </si>
  <si>
    <t>PE1</t>
  </si>
  <si>
    <t>4th Year Standing</t>
  </si>
  <si>
    <t>MATH REQUIREMENTS</t>
  </si>
  <si>
    <t>Common Courses</t>
  </si>
  <si>
    <t>General Education</t>
  </si>
  <si>
    <t>Physical Education</t>
  </si>
  <si>
    <t>Professional Courses</t>
  </si>
  <si>
    <t>Recommended Professional Electives</t>
  </si>
  <si>
    <t>Additional Professional Courses</t>
  </si>
  <si>
    <t>Math Requirements</t>
  </si>
  <si>
    <t>College Requirement</t>
  </si>
  <si>
    <t>NSTP</t>
  </si>
  <si>
    <t>(6)</t>
  </si>
  <si>
    <t>NONE</t>
  </si>
  <si>
    <t>Total Number of Units</t>
  </si>
  <si>
    <t xml:space="preserve"> </t>
  </si>
  <si>
    <t>Core Courses + Rizal</t>
  </si>
  <si>
    <t>Effective Academic Year 2018-2019</t>
  </si>
  <si>
    <t>Prepared by:</t>
  </si>
  <si>
    <t>Academic Coordinator, BSCS</t>
  </si>
  <si>
    <t>MARK GIL Q. SUPERIO, MIT</t>
  </si>
  <si>
    <t>Dean, ICSLIS</t>
  </si>
  <si>
    <t>RONIELLE B. ANTONIO, MIT</t>
  </si>
  <si>
    <t>Reviewed and Verified by:</t>
  </si>
  <si>
    <t>LESSANDRO T. YUZON</t>
  </si>
  <si>
    <t>Registrar</t>
  </si>
  <si>
    <t>Approved by:</t>
  </si>
  <si>
    <t>DR. RICHARD G. DAENOS, LPT, FBE, SFRIEdr, SFRIRes</t>
  </si>
  <si>
    <t>President</t>
  </si>
  <si>
    <t>7RPE1</t>
  </si>
  <si>
    <t>7RPE2</t>
  </si>
  <si>
    <t>Computer Architecture and Organization</t>
  </si>
  <si>
    <t>7COMPARC</t>
  </si>
  <si>
    <t>7RPE3</t>
  </si>
  <si>
    <t>7OJT</t>
  </si>
  <si>
    <t>GENERAL EDUCATION</t>
  </si>
  <si>
    <t>PHYSICAL EDUCATION</t>
  </si>
  <si>
    <t>COMMON COURSES</t>
  </si>
  <si>
    <t>PROFESSIONAL COURSES</t>
  </si>
  <si>
    <t>ADDITIONAL PROFESSIONAL COURSES</t>
  </si>
  <si>
    <t>7AUTOMATA</t>
  </si>
  <si>
    <t>8MAEL1</t>
  </si>
  <si>
    <t>7NET2</t>
  </si>
  <si>
    <t>7METHRES</t>
  </si>
  <si>
    <t>7WEB1</t>
  </si>
  <si>
    <t>7NET3</t>
  </si>
  <si>
    <t>7WEB2</t>
  </si>
  <si>
    <t>7LOGDCC</t>
  </si>
  <si>
    <t>7INNOTECH</t>
  </si>
  <si>
    <t>8MAEL2</t>
  </si>
  <si>
    <t>8MAEL3</t>
  </si>
  <si>
    <t>Noted by:</t>
  </si>
  <si>
    <t>SUBJECTS ARRANGE BY CATEGORY</t>
  </si>
  <si>
    <t>7DISTRU2</t>
  </si>
  <si>
    <t>Discrete Structures 2</t>
  </si>
  <si>
    <t>PL</t>
  </si>
  <si>
    <t>Introduction to Java</t>
  </si>
  <si>
    <t>SQL</t>
  </si>
  <si>
    <t>Introduction to Python</t>
  </si>
  <si>
    <t>Advanced Java</t>
  </si>
  <si>
    <t>Android</t>
  </si>
  <si>
    <t>Advanced Python</t>
  </si>
  <si>
    <t>C# or Advanced Android</t>
  </si>
  <si>
    <t>CHANGES:</t>
  </si>
  <si>
    <t>7HCOMINT to Second Year Second Semester</t>
  </si>
  <si>
    <t>7OOP to Second Year First Semester</t>
  </si>
  <si>
    <t>CHANGES UPON ACCERDITOR'S RECOMMENDATION</t>
  </si>
  <si>
    <t>(SUGGESTIONS)</t>
  </si>
  <si>
    <t>1. 7NET3 to 7DM (Data Mining Concepts)</t>
  </si>
  <si>
    <t>2. 7NET4 to 7ANALYTICS (Data Analytics)</t>
  </si>
  <si>
    <t>Differential Calculus</t>
  </si>
  <si>
    <t>7ANALYTICS</t>
  </si>
  <si>
    <t>Data Analytics</t>
  </si>
  <si>
    <t>7DM</t>
  </si>
  <si>
    <t>Concepts of Data Mining</t>
  </si>
  <si>
    <t>3. MAEL3 to Differential Calculus</t>
  </si>
  <si>
    <t>Design Patterns</t>
  </si>
  <si>
    <t>ENVISCI</t>
  </si>
  <si>
    <t>Environmental Science</t>
  </si>
  <si>
    <t>Gender and Society</t>
  </si>
  <si>
    <t>7GVCOM</t>
  </si>
  <si>
    <t>7COMSCI</t>
  </si>
  <si>
    <t>Computational Science</t>
  </si>
  <si>
    <t>WAN Technologies</t>
  </si>
  <si>
    <t>Methods of Research in Computing</t>
  </si>
  <si>
    <t>Movement Enhancement</t>
  </si>
  <si>
    <t>Fitness Exercises</t>
  </si>
  <si>
    <t>Dance and Individual / Dual Sports</t>
  </si>
  <si>
    <t>Team Sports and Laro ng Lahi</t>
  </si>
  <si>
    <t>BUSCOM</t>
  </si>
  <si>
    <t>Pre-Calculus</t>
  </si>
  <si>
    <t>Block Chain</t>
  </si>
  <si>
    <t>GRAMCOM</t>
  </si>
  <si>
    <t>Movement Engagement (Movement Patterns; Exercise-Based)</t>
  </si>
  <si>
    <t>Fitness Exercises (Exercised Program-Based)</t>
  </si>
  <si>
    <t>Physical Activity Towards Health and Fitness</t>
  </si>
  <si>
    <t>(PATH-Fit 1: Dance and Individual/Dual Sports)</t>
  </si>
  <si>
    <t>(PATH-Fit 2: Team Sports and Laro ng Lahi)</t>
  </si>
  <si>
    <t>Networks and Communication</t>
  </si>
  <si>
    <t>Introduction to Networking</t>
  </si>
  <si>
    <t>Routing and Switching Essentials</t>
  </si>
  <si>
    <t>Grammar and Composition</t>
  </si>
  <si>
    <t>RECOMMENDED PROFESSIONAL ELECTIVES (3)</t>
  </si>
  <si>
    <t>GENERAL EDUCATION ELECTIVES</t>
  </si>
  <si>
    <t>GENDSOC</t>
  </si>
  <si>
    <t>ADDITIONAL ENGLISH REQUIREMENTS</t>
  </si>
  <si>
    <t xml:space="preserve">GE Electives </t>
  </si>
  <si>
    <t>Additional English Requirement</t>
  </si>
  <si>
    <t>Effective Academic Year 2018-2019 (with Amendments)</t>
  </si>
  <si>
    <t>References:</t>
  </si>
  <si>
    <t>2. CMO No. 20, Series 2013 (General Education Curriculum)</t>
  </si>
  <si>
    <t>1. CMO No. 25 Series  2015 (Revised PSG for BSCS, BSIS &amp; BSIT Programs)</t>
  </si>
  <si>
    <t>Recommended Professional Elective 2 (Intelligent Systems)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</si>
</sst>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6"/>
      <name val="Arial Narrow"/>
      <family val="2"/>
    </font>
    <font>
      <sz val="11"/>
      <name val="Arial Narrow"/>
      <family val="2"/>
    </font>
    <font>
      <b/>
      <sz val="12"/>
      <name val="Arial Narrow"/>
      <family val="2"/>
    </font>
    <font>
      <sz val="12"/>
      <name val="Arial Narrow"/>
      <family val="2"/>
    </font>
    <font>
      <sz val="10"/>
      <name val="Arial Narrow"/>
      <family val="2"/>
    </font>
    <font>
      <b/>
      <sz val="1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color theme="1"/>
      <name val="Calibri"/>
      <family val="2"/>
      <scheme val="minor"/>
    </font>
    <font>
      <sz val="11"/>
      <color theme="0" tint="-0.14999847407452621"/>
      <name val="Arial Narrow"/>
      <family val="2"/>
    </font>
    <font>
      <sz val="9"/>
      <name val="Arial Narrow"/>
      <family val="2"/>
    </font>
    <font>
      <sz val="11"/>
      <color theme="0" tint="-4.9989318521683403E-2"/>
      <name val="Arial Narrow"/>
      <family val="2"/>
    </font>
    <font>
      <sz val="11"/>
      <color rgb="FFC00000"/>
      <name val="Arial Narrow"/>
      <family val="2"/>
    </font>
    <font>
      <sz val="10"/>
      <color rgb="FFC00000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5" fillId="8" borderId="0" xfId="0" applyFont="1" applyFill="1" applyAlignment="1">
      <alignment vertical="center"/>
    </xf>
    <xf numFmtId="0" fontId="5" fillId="6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5" fillId="9" borderId="0" xfId="0" applyFont="1" applyFill="1" applyAlignment="1">
      <alignment vertical="center"/>
    </xf>
    <xf numFmtId="0" fontId="5" fillId="7" borderId="0" xfId="0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0" fontId="6" fillId="11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2"/>
    </xf>
    <xf numFmtId="0" fontId="6" fillId="0" borderId="1" xfId="0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4" borderId="0" xfId="0" applyFont="1" applyFill="1" applyAlignment="1">
      <alignment vertical="center"/>
    </xf>
    <xf numFmtId="0" fontId="14" fillId="3" borderId="0" xfId="0" applyFont="1" applyFill="1" applyAlignment="1">
      <alignment vertical="center"/>
    </xf>
    <xf numFmtId="0" fontId="14" fillId="8" borderId="0" xfId="0" applyFont="1" applyFill="1" applyAlignment="1">
      <alignment vertical="center"/>
    </xf>
    <xf numFmtId="0" fontId="13" fillId="0" borderId="6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4" fillId="6" borderId="0" xfId="0" applyFont="1" applyFill="1" applyAlignment="1">
      <alignment vertical="center"/>
    </xf>
    <xf numFmtId="0" fontId="14" fillId="5" borderId="0" xfId="0" applyFont="1" applyFill="1" applyAlignment="1">
      <alignment vertical="center"/>
    </xf>
    <xf numFmtId="0" fontId="7" fillId="12" borderId="1" xfId="0" applyFont="1" applyFill="1" applyBorder="1" applyAlignment="1">
      <alignment vertical="center"/>
    </xf>
    <xf numFmtId="0" fontId="7" fillId="12" borderId="1" xfId="0" applyFont="1" applyFill="1" applyBorder="1" applyAlignment="1">
      <alignment horizontal="center" vertical="center"/>
    </xf>
    <xf numFmtId="0" fontId="2" fillId="12" borderId="0" xfId="0" applyFont="1" applyFill="1" applyAlignment="1">
      <alignment vertical="center"/>
    </xf>
    <xf numFmtId="0" fontId="5" fillId="12" borderId="0" xfId="0" applyFont="1" applyFill="1" applyAlignment="1">
      <alignment vertical="center"/>
    </xf>
    <xf numFmtId="0" fontId="2" fillId="12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vertical="center"/>
    </xf>
    <xf numFmtId="0" fontId="13" fillId="12" borderId="1" xfId="0" applyFont="1" applyFill="1" applyBorder="1" applyAlignment="1">
      <alignment horizontal="center" vertical="center"/>
    </xf>
    <xf numFmtId="0" fontId="13" fillId="12" borderId="0" xfId="0" applyFont="1" applyFill="1" applyAlignment="1">
      <alignment vertical="center"/>
    </xf>
    <xf numFmtId="0" fontId="14" fillId="12" borderId="0" xfId="0" applyFont="1" applyFill="1" applyAlignment="1">
      <alignment vertical="center"/>
    </xf>
    <xf numFmtId="0" fontId="2" fillId="12" borderId="1" xfId="0" applyFont="1" applyFill="1" applyBorder="1" applyAlignment="1">
      <alignment vertical="center" wrapText="1"/>
    </xf>
    <xf numFmtId="49" fontId="2" fillId="12" borderId="1" xfId="0" applyNumberFormat="1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vertical="center"/>
    </xf>
    <xf numFmtId="0" fontId="13" fillId="13" borderId="1" xfId="0" applyFont="1" applyFill="1" applyBorder="1" applyAlignment="1">
      <alignment horizontal="center" vertical="center"/>
    </xf>
    <xf numFmtId="0" fontId="13" fillId="13" borderId="0" xfId="0" applyFont="1" applyFill="1" applyAlignment="1">
      <alignment vertical="center"/>
    </xf>
    <xf numFmtId="0" fontId="14" fillId="13" borderId="0" xfId="0" applyFont="1" applyFill="1" applyAlignment="1">
      <alignment vertical="center"/>
    </xf>
    <xf numFmtId="0" fontId="7" fillId="13" borderId="1" xfId="0" applyFont="1" applyFill="1" applyBorder="1" applyAlignment="1">
      <alignment vertical="center"/>
    </xf>
    <xf numFmtId="0" fontId="7" fillId="13" borderId="1" xfId="0" applyFont="1" applyFill="1" applyBorder="1" applyAlignment="1">
      <alignment horizontal="center" vertical="center"/>
    </xf>
    <xf numFmtId="0" fontId="2" fillId="13" borderId="0" xfId="0" applyFont="1" applyFill="1" applyAlignment="1">
      <alignment vertical="center"/>
    </xf>
    <xf numFmtId="0" fontId="5" fillId="13" borderId="0" xfId="0" applyFont="1" applyFill="1" applyAlignment="1">
      <alignment vertical="center"/>
    </xf>
    <xf numFmtId="0" fontId="2" fillId="13" borderId="1" xfId="0" applyFont="1" applyFill="1" applyBorder="1" applyAlignment="1">
      <alignment vertical="center"/>
    </xf>
    <xf numFmtId="0" fontId="2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vertical="center" wrapText="1"/>
    </xf>
    <xf numFmtId="49" fontId="2" fillId="13" borderId="1" xfId="0" applyNumberFormat="1" applyFont="1" applyFill="1" applyBorder="1" applyAlignment="1">
      <alignment horizontal="center" vertical="center"/>
    </xf>
    <xf numFmtId="0" fontId="13" fillId="13" borderId="6" xfId="0" applyFont="1" applyFill="1" applyBorder="1" applyAlignment="1">
      <alignment vertical="center"/>
    </xf>
    <xf numFmtId="0" fontId="13" fillId="13" borderId="7" xfId="0" applyFont="1" applyFill="1" applyBorder="1" applyAlignment="1">
      <alignment vertical="center"/>
    </xf>
    <xf numFmtId="0" fontId="6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vertical="center"/>
    </xf>
    <xf numFmtId="0" fontId="2" fillId="14" borderId="1" xfId="0" applyFont="1" applyFill="1" applyBorder="1" applyAlignment="1">
      <alignment horizontal="center" vertical="center"/>
    </xf>
    <xf numFmtId="0" fontId="2" fillId="14" borderId="0" xfId="0" applyFont="1" applyFill="1" applyAlignment="1">
      <alignment vertical="center"/>
    </xf>
    <xf numFmtId="0" fontId="5" fillId="14" borderId="0" xfId="0" applyFont="1" applyFill="1" applyAlignment="1">
      <alignment vertical="center"/>
    </xf>
    <xf numFmtId="0" fontId="7" fillId="14" borderId="1" xfId="0" applyFont="1" applyFill="1" applyBorder="1" applyAlignment="1">
      <alignment vertical="center"/>
    </xf>
    <xf numFmtId="0" fontId="7" fillId="14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vertical="center"/>
    </xf>
    <xf numFmtId="0" fontId="13" fillId="14" borderId="6" xfId="0" applyFont="1" applyFill="1" applyBorder="1" applyAlignment="1">
      <alignment vertical="center"/>
    </xf>
    <xf numFmtId="0" fontId="13" fillId="14" borderId="1" xfId="0" applyFont="1" applyFill="1" applyBorder="1" applyAlignment="1">
      <alignment horizontal="center" vertical="center"/>
    </xf>
    <xf numFmtId="0" fontId="13" fillId="14" borderId="7" xfId="0" applyFont="1" applyFill="1" applyBorder="1" applyAlignment="1">
      <alignment vertical="center"/>
    </xf>
    <xf numFmtId="0" fontId="6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vertical="center"/>
    </xf>
    <xf numFmtId="0" fontId="2" fillId="15" borderId="1" xfId="0" applyFont="1" applyFill="1" applyBorder="1" applyAlignment="1">
      <alignment horizontal="center" vertical="center"/>
    </xf>
    <xf numFmtId="0" fontId="2" fillId="15" borderId="0" xfId="0" applyFont="1" applyFill="1" applyAlignment="1">
      <alignment vertical="center"/>
    </xf>
    <xf numFmtId="0" fontId="5" fillId="15" borderId="0" xfId="0" applyFont="1" applyFill="1" applyAlignment="1">
      <alignment vertical="center"/>
    </xf>
    <xf numFmtId="0" fontId="7" fillId="15" borderId="1" xfId="0" applyFont="1" applyFill="1" applyBorder="1" applyAlignment="1">
      <alignment vertical="center"/>
    </xf>
    <xf numFmtId="0" fontId="7" fillId="15" borderId="1" xfId="0" applyFont="1" applyFill="1" applyBorder="1" applyAlignment="1">
      <alignment horizontal="center" vertical="center"/>
    </xf>
    <xf numFmtId="0" fontId="2" fillId="15" borderId="1" xfId="0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left" vertical="top" wrapText="1"/>
    </xf>
    <xf numFmtId="0" fontId="8" fillId="11" borderId="1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/>
    </xf>
    <xf numFmtId="0" fontId="8" fillId="11" borderId="4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398042</xdr:colOff>
      <xdr:row>0</xdr:row>
      <xdr:rowOff>24847</xdr:rowOff>
    </xdr:from>
    <xdr:to>
      <xdr:col>5</xdr:col>
      <xdr:colOff>1012988</xdr:colOff>
      <xdr:row>3</xdr:row>
      <xdr:rowOff>32173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9890" y="24847"/>
          <a:ext cx="614946" cy="620239"/>
        </a:xfrm>
        <a:prstGeom prst="rect">
          <a:avLst/>
        </a:prstGeom>
      </xdr:spPr>
    </xdr:pic>
    <xdr:clientData/>
  </xdr:twoCellAnchor>
  <xdr:twoCellAnchor editAs="oneCell">
    <xdr:from>
      <xdr:col>0</xdr:col>
      <xdr:colOff>65937</xdr:colOff>
      <xdr:row>0</xdr:row>
      <xdr:rowOff>41413</xdr:rowOff>
    </xdr:from>
    <xdr:to>
      <xdr:col>0</xdr:col>
      <xdr:colOff>556728</xdr:colOff>
      <xdr:row>3</xdr:row>
      <xdr:rowOff>26250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37" y="41413"/>
          <a:ext cx="490791" cy="597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184735</xdr:colOff>
      <xdr:row>0</xdr:row>
      <xdr:rowOff>22937</xdr:rowOff>
    </xdr:from>
    <xdr:to>
      <xdr:col>5</xdr:col>
      <xdr:colOff>821415</xdr:colOff>
      <xdr:row>3</xdr:row>
      <xdr:rowOff>9852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9310" y="22937"/>
          <a:ext cx="639401" cy="597876"/>
        </a:xfrm>
        <a:prstGeom prst="rect">
          <a:avLst/>
        </a:prstGeom>
      </xdr:spPr>
    </xdr:pic>
    <xdr:clientData/>
  </xdr:twoCellAnchor>
  <xdr:twoCellAnchor editAs="oneCell">
    <xdr:from>
      <xdr:col>0</xdr:col>
      <xdr:colOff>25289</xdr:colOff>
      <xdr:row>0</xdr:row>
      <xdr:rowOff>14655</xdr:rowOff>
    </xdr:from>
    <xdr:to>
      <xdr:col>0</xdr:col>
      <xdr:colOff>551295</xdr:colOff>
      <xdr:row>3</xdr:row>
      <xdr:rowOff>1362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89" y="14655"/>
          <a:ext cx="523285" cy="5963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398042</xdr:colOff>
      <xdr:row>0</xdr:row>
      <xdr:rowOff>24847</xdr:rowOff>
    </xdr:from>
    <xdr:to>
      <xdr:col>5</xdr:col>
      <xdr:colOff>1012988</xdr:colOff>
      <xdr:row>3</xdr:row>
      <xdr:rowOff>32173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0717" y="24847"/>
          <a:ext cx="614946" cy="616926"/>
        </a:xfrm>
        <a:prstGeom prst="rect">
          <a:avLst/>
        </a:prstGeom>
      </xdr:spPr>
    </xdr:pic>
    <xdr:clientData/>
  </xdr:twoCellAnchor>
  <xdr:twoCellAnchor editAs="oneCell">
    <xdr:from>
      <xdr:col>0</xdr:col>
      <xdr:colOff>65937</xdr:colOff>
      <xdr:row>0</xdr:row>
      <xdr:rowOff>41413</xdr:rowOff>
    </xdr:from>
    <xdr:to>
      <xdr:col>0</xdr:col>
      <xdr:colOff>556728</xdr:colOff>
      <xdr:row>3</xdr:row>
      <xdr:rowOff>26250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37" y="41413"/>
          <a:ext cx="490791" cy="5944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398042</xdr:colOff>
      <xdr:row>0</xdr:row>
      <xdr:rowOff>24847</xdr:rowOff>
    </xdr:from>
    <xdr:to>
      <xdr:col>5</xdr:col>
      <xdr:colOff>1012988</xdr:colOff>
      <xdr:row>3</xdr:row>
      <xdr:rowOff>32173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0717" y="24847"/>
          <a:ext cx="614946" cy="616926"/>
        </a:xfrm>
        <a:prstGeom prst="rect">
          <a:avLst/>
        </a:prstGeom>
      </xdr:spPr>
    </xdr:pic>
    <xdr:clientData/>
  </xdr:twoCellAnchor>
  <xdr:twoCellAnchor editAs="oneCell">
    <xdr:from>
      <xdr:col>0</xdr:col>
      <xdr:colOff>65937</xdr:colOff>
      <xdr:row>0</xdr:row>
      <xdr:rowOff>41413</xdr:rowOff>
    </xdr:from>
    <xdr:to>
      <xdr:col>0</xdr:col>
      <xdr:colOff>556728</xdr:colOff>
      <xdr:row>3</xdr:row>
      <xdr:rowOff>26250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37" y="41413"/>
          <a:ext cx="490791" cy="5944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398042</xdr:colOff>
      <xdr:row>0</xdr:row>
      <xdr:rowOff>24847</xdr:rowOff>
    </xdr:from>
    <xdr:to>
      <xdr:col>5</xdr:col>
      <xdr:colOff>1012988</xdr:colOff>
      <xdr:row>3</xdr:row>
      <xdr:rowOff>32173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0717" y="24847"/>
          <a:ext cx="614946" cy="616926"/>
        </a:xfrm>
        <a:prstGeom prst="rect">
          <a:avLst/>
        </a:prstGeom>
      </xdr:spPr>
    </xdr:pic>
    <xdr:clientData/>
  </xdr:twoCellAnchor>
  <xdr:twoCellAnchor editAs="oneCell">
    <xdr:from>
      <xdr:col>0</xdr:col>
      <xdr:colOff>65937</xdr:colOff>
      <xdr:row>0</xdr:row>
      <xdr:rowOff>41413</xdr:rowOff>
    </xdr:from>
    <xdr:to>
      <xdr:col>0</xdr:col>
      <xdr:colOff>556728</xdr:colOff>
      <xdr:row>3</xdr:row>
      <xdr:rowOff>26250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37" y="41413"/>
          <a:ext cx="490791" cy="5944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6"/>
  <sheetViews>
    <sheetView view="pageBreakPreview" topLeftCell="A37" zoomScale="145" zoomScaleNormal="130" zoomScaleSheetLayoutView="145" workbookViewId="0">
      <selection activeCell="A41" sqref="A41:XFD41"/>
    </sheetView>
  </sheetViews>
  <sheetFormatPr defaultColWidth="8.84375" defaultRowHeight="14.5" customHeight="1" x14ac:dyDescent="0.4"/>
  <cols>
    <col min="1" max="1" width="15.69140625" style="1" customWidth="1"/>
    <col min="2" max="2" width="53.3046875" style="1" customWidth="1"/>
    <col min="3" max="4" width="6.69140625" style="3" customWidth="1"/>
    <col min="5" max="5" width="10" style="3" customWidth="1"/>
    <col min="6" max="6" width="16.53515625" style="1" customWidth="1"/>
    <col min="7" max="16384" width="8.84375" style="1"/>
  </cols>
  <sheetData>
    <row r="1" spans="1:9" ht="19.95" customHeight="1" x14ac:dyDescent="0.4">
      <c r="A1" s="103" t="s">
        <v>0</v>
      </c>
      <c r="B1" s="103"/>
      <c r="C1" s="103"/>
      <c r="D1" s="103"/>
      <c r="E1" s="103"/>
      <c r="F1" s="103"/>
    </row>
    <row r="2" spans="1:9" ht="14.5" customHeight="1" x14ac:dyDescent="0.4">
      <c r="A2" s="104" t="s">
        <v>1</v>
      </c>
      <c r="B2" s="104"/>
      <c r="C2" s="104"/>
      <c r="D2" s="104"/>
      <c r="E2" s="104"/>
      <c r="F2" s="104"/>
      <c r="G2" s="25"/>
    </row>
    <row r="3" spans="1:9" ht="14.5" customHeight="1" x14ac:dyDescent="0.4">
      <c r="A3" s="104" t="s">
        <v>2</v>
      </c>
      <c r="B3" s="104"/>
      <c r="C3" s="104"/>
      <c r="D3" s="104"/>
      <c r="E3" s="104"/>
      <c r="F3" s="104"/>
    </row>
    <row r="4" spans="1:9" ht="14.5" customHeight="1" x14ac:dyDescent="0.4">
      <c r="A4" s="105" t="s">
        <v>213</v>
      </c>
      <c r="B4" s="104"/>
      <c r="C4" s="104"/>
      <c r="D4" s="104"/>
      <c r="E4" s="104"/>
      <c r="F4" s="104"/>
    </row>
    <row r="5" spans="1:9" ht="14.5" customHeight="1" x14ac:dyDescent="0.4">
      <c r="A5" s="44"/>
      <c r="B5" s="43"/>
      <c r="C5" s="43"/>
      <c r="D5" s="43"/>
      <c r="E5" s="43"/>
      <c r="F5" s="43"/>
    </row>
    <row r="6" spans="1:9" s="4" customFormat="1" ht="28.95" customHeight="1" x14ac:dyDescent="0.4">
      <c r="A6" s="14" t="s">
        <v>3</v>
      </c>
      <c r="B6" s="14" t="s">
        <v>4</v>
      </c>
      <c r="C6" s="14" t="s">
        <v>5</v>
      </c>
      <c r="D6" s="14" t="s">
        <v>6</v>
      </c>
      <c r="E6" s="14" t="s">
        <v>7</v>
      </c>
      <c r="F6" s="14" t="s">
        <v>8</v>
      </c>
      <c r="G6" s="1"/>
    </row>
    <row r="7" spans="1:9" s="4" customFormat="1" ht="14.5" customHeight="1" x14ac:dyDescent="0.4">
      <c r="A7" s="106" t="s">
        <v>9</v>
      </c>
      <c r="B7" s="106"/>
      <c r="C7" s="106"/>
      <c r="D7" s="106"/>
      <c r="E7" s="106"/>
      <c r="F7" s="106"/>
      <c r="G7" s="1"/>
    </row>
    <row r="8" spans="1:9" s="5" customFormat="1" ht="16" customHeight="1" x14ac:dyDescent="0.4">
      <c r="A8" s="20" t="s">
        <v>10</v>
      </c>
      <c r="B8" s="20" t="s">
        <v>11</v>
      </c>
      <c r="C8" s="21">
        <v>2</v>
      </c>
      <c r="D8" s="21">
        <v>1</v>
      </c>
      <c r="E8" s="21">
        <v>3</v>
      </c>
      <c r="F8" s="20" t="s">
        <v>118</v>
      </c>
      <c r="G8" s="1"/>
      <c r="H8" s="4"/>
      <c r="I8" s="4"/>
    </row>
    <row r="9" spans="1:9" s="5" customFormat="1" ht="16" customHeight="1" x14ac:dyDescent="0.4">
      <c r="A9" s="20" t="s">
        <v>12</v>
      </c>
      <c r="B9" s="20" t="s">
        <v>13</v>
      </c>
      <c r="C9" s="21">
        <v>2</v>
      </c>
      <c r="D9" s="21">
        <v>1</v>
      </c>
      <c r="E9" s="21">
        <v>3</v>
      </c>
      <c r="F9" s="20" t="s">
        <v>118</v>
      </c>
      <c r="G9" s="1"/>
    </row>
    <row r="10" spans="1:9" s="5" customFormat="1" ht="16" customHeight="1" x14ac:dyDescent="0.4">
      <c r="A10" s="20" t="s">
        <v>40</v>
      </c>
      <c r="B10" s="20" t="s">
        <v>41</v>
      </c>
      <c r="C10" s="21">
        <v>2</v>
      </c>
      <c r="D10" s="21">
        <v>1</v>
      </c>
      <c r="E10" s="21">
        <v>3</v>
      </c>
      <c r="F10" s="20" t="s">
        <v>118</v>
      </c>
      <c r="G10" s="1"/>
      <c r="H10" s="4"/>
      <c r="I10" s="4"/>
    </row>
    <row r="11" spans="1:9" s="4" customFormat="1" ht="16" customHeight="1" x14ac:dyDescent="0.4">
      <c r="A11" s="15" t="s">
        <v>14</v>
      </c>
      <c r="B11" s="15" t="s">
        <v>15</v>
      </c>
      <c r="C11" s="16">
        <v>3</v>
      </c>
      <c r="D11" s="16">
        <v>0</v>
      </c>
      <c r="E11" s="16">
        <f t="shared" ref="E11:E14" si="0">SUM(C11:D11)</f>
        <v>3</v>
      </c>
      <c r="F11" s="15" t="s">
        <v>118</v>
      </c>
      <c r="G11" s="1"/>
    </row>
    <row r="12" spans="1:9" s="50" customFormat="1" ht="16" customHeight="1" x14ac:dyDescent="0.4">
      <c r="A12" s="46" t="s">
        <v>182</v>
      </c>
      <c r="B12" s="46" t="s">
        <v>183</v>
      </c>
      <c r="C12" s="47">
        <v>3</v>
      </c>
      <c r="D12" s="47">
        <v>0</v>
      </c>
      <c r="E12" s="47">
        <f t="shared" si="0"/>
        <v>3</v>
      </c>
      <c r="F12" s="46" t="s">
        <v>118</v>
      </c>
      <c r="G12" s="48"/>
      <c r="H12" s="49"/>
      <c r="I12" s="49"/>
    </row>
    <row r="13" spans="1:9" s="4" customFormat="1" ht="16" customHeight="1" x14ac:dyDescent="0.4">
      <c r="A13" s="15" t="s">
        <v>18</v>
      </c>
      <c r="B13" s="15" t="s">
        <v>19</v>
      </c>
      <c r="C13" s="16">
        <v>3</v>
      </c>
      <c r="D13" s="16">
        <v>0</v>
      </c>
      <c r="E13" s="16">
        <f t="shared" si="0"/>
        <v>3</v>
      </c>
      <c r="F13" s="15" t="s">
        <v>118</v>
      </c>
      <c r="G13" s="1"/>
    </row>
    <row r="14" spans="1:9" s="4" customFormat="1" ht="16" customHeight="1" x14ac:dyDescent="0.4">
      <c r="A14" s="15" t="s">
        <v>20</v>
      </c>
      <c r="B14" s="15" t="s">
        <v>21</v>
      </c>
      <c r="C14" s="16">
        <v>3</v>
      </c>
      <c r="D14" s="16">
        <v>0</v>
      </c>
      <c r="E14" s="16">
        <f t="shared" si="0"/>
        <v>3</v>
      </c>
      <c r="F14" s="15" t="s">
        <v>118</v>
      </c>
      <c r="G14" s="1"/>
    </row>
    <row r="15" spans="1:9" s="52" customFormat="1" ht="16" customHeight="1" x14ac:dyDescent="0.4">
      <c r="A15" s="46" t="s">
        <v>105</v>
      </c>
      <c r="B15" s="46" t="s">
        <v>198</v>
      </c>
      <c r="C15" s="47">
        <v>2</v>
      </c>
      <c r="D15" s="47">
        <v>0</v>
      </c>
      <c r="E15" s="47">
        <v>2</v>
      </c>
      <c r="F15" s="46" t="s">
        <v>118</v>
      </c>
      <c r="G15" s="48"/>
      <c r="H15" s="49"/>
      <c r="I15" s="49"/>
    </row>
    <row r="16" spans="1:9" s="8" customFormat="1" ht="16" customHeight="1" x14ac:dyDescent="0.4">
      <c r="A16" s="15" t="s">
        <v>22</v>
      </c>
      <c r="B16" s="17" t="s">
        <v>101</v>
      </c>
      <c r="C16" s="18" t="s">
        <v>23</v>
      </c>
      <c r="D16" s="16">
        <v>0</v>
      </c>
      <c r="E16" s="18" t="s">
        <v>23</v>
      </c>
      <c r="F16" s="15" t="s">
        <v>118</v>
      </c>
      <c r="G16" s="1"/>
      <c r="H16" s="4"/>
      <c r="I16" s="4"/>
    </row>
    <row r="17" spans="1:9" s="4" customFormat="1" ht="14.5" customHeight="1" x14ac:dyDescent="0.4">
      <c r="A17" s="15"/>
      <c r="B17" s="15"/>
      <c r="C17" s="102" t="s">
        <v>24</v>
      </c>
      <c r="D17" s="102"/>
      <c r="E17" s="29">
        <f>SUM(E8:E16)</f>
        <v>23</v>
      </c>
      <c r="F17" s="15"/>
      <c r="G17" s="1"/>
    </row>
    <row r="18" spans="1:9" s="4" customFormat="1" ht="14.5" customHeight="1" x14ac:dyDescent="0.4">
      <c r="A18" s="106" t="s">
        <v>25</v>
      </c>
      <c r="B18" s="106"/>
      <c r="C18" s="106"/>
      <c r="D18" s="106"/>
      <c r="E18" s="106"/>
      <c r="F18" s="106"/>
      <c r="G18" s="1"/>
    </row>
    <row r="19" spans="1:9" s="5" customFormat="1" ht="16" customHeight="1" x14ac:dyDescent="0.4">
      <c r="A19" s="20" t="s">
        <v>26</v>
      </c>
      <c r="B19" s="20" t="s">
        <v>27</v>
      </c>
      <c r="C19" s="21">
        <v>2</v>
      </c>
      <c r="D19" s="21">
        <v>1</v>
      </c>
      <c r="E19" s="21">
        <v>3</v>
      </c>
      <c r="F19" s="20" t="s">
        <v>12</v>
      </c>
      <c r="G19" s="1"/>
      <c r="H19" s="4"/>
      <c r="I19" s="4"/>
    </row>
    <row r="20" spans="1:9" s="5" customFormat="1" ht="16" customHeight="1" x14ac:dyDescent="0.4">
      <c r="A20" s="20" t="s">
        <v>38</v>
      </c>
      <c r="B20" s="20" t="s">
        <v>39</v>
      </c>
      <c r="C20" s="21">
        <v>2</v>
      </c>
      <c r="D20" s="21">
        <v>1</v>
      </c>
      <c r="E20" s="21">
        <v>3</v>
      </c>
      <c r="F20" s="20" t="s">
        <v>26</v>
      </c>
      <c r="G20" s="1"/>
      <c r="H20" s="4"/>
      <c r="I20" s="4"/>
    </row>
    <row r="21" spans="1:9" s="10" customFormat="1" ht="16" customHeight="1" x14ac:dyDescent="0.4">
      <c r="A21" s="15" t="s">
        <v>29</v>
      </c>
      <c r="B21" s="15" t="s">
        <v>30</v>
      </c>
      <c r="C21" s="16">
        <v>3</v>
      </c>
      <c r="D21" s="16">
        <v>0</v>
      </c>
      <c r="E21" s="16">
        <f t="shared" ref="E21" si="1">SUM(C21:D21)</f>
        <v>3</v>
      </c>
      <c r="F21" s="15" t="s">
        <v>20</v>
      </c>
    </row>
    <row r="22" spans="1:9" s="6" customFormat="1" ht="16" customHeight="1" x14ac:dyDescent="0.4">
      <c r="A22" s="20" t="s">
        <v>146</v>
      </c>
      <c r="B22" s="20" t="s">
        <v>33</v>
      </c>
      <c r="C22" s="21">
        <v>3</v>
      </c>
      <c r="D22" s="21">
        <v>0</v>
      </c>
      <c r="E22" s="21">
        <v>3</v>
      </c>
      <c r="F22" s="20" t="s">
        <v>20</v>
      </c>
      <c r="G22" s="1"/>
      <c r="H22" s="4"/>
      <c r="I22" s="4"/>
    </row>
    <row r="23" spans="1:9" s="9" customFormat="1" ht="16" customHeight="1" x14ac:dyDescent="0.4">
      <c r="A23" s="15" t="s">
        <v>16</v>
      </c>
      <c r="B23" s="15" t="s">
        <v>17</v>
      </c>
      <c r="C23" s="16">
        <v>3</v>
      </c>
      <c r="D23" s="16">
        <v>0</v>
      </c>
      <c r="E23" s="16">
        <f t="shared" ref="E23:E25" si="2">SUM(C23:D23)</f>
        <v>3</v>
      </c>
      <c r="F23" s="15" t="s">
        <v>118</v>
      </c>
      <c r="G23" s="1"/>
      <c r="H23" s="4"/>
      <c r="I23" s="4"/>
    </row>
    <row r="24" spans="1:9" s="51" customFormat="1" ht="16" customHeight="1" x14ac:dyDescent="0.4">
      <c r="A24" s="46" t="s">
        <v>209</v>
      </c>
      <c r="B24" s="46" t="s">
        <v>184</v>
      </c>
      <c r="C24" s="47">
        <v>3</v>
      </c>
      <c r="D24" s="47">
        <v>0</v>
      </c>
      <c r="E24" s="47">
        <f t="shared" si="2"/>
        <v>3</v>
      </c>
      <c r="F24" s="46" t="s">
        <v>118</v>
      </c>
      <c r="G24" s="48"/>
      <c r="H24" s="49"/>
      <c r="I24" s="49"/>
    </row>
    <row r="25" spans="1:9" s="6" customFormat="1" ht="16" customHeight="1" x14ac:dyDescent="0.4">
      <c r="A25" s="15" t="s">
        <v>34</v>
      </c>
      <c r="B25" s="15" t="s">
        <v>35</v>
      </c>
      <c r="C25" s="16">
        <v>3</v>
      </c>
      <c r="D25" s="16">
        <v>0</v>
      </c>
      <c r="E25" s="16">
        <f t="shared" si="2"/>
        <v>3</v>
      </c>
      <c r="F25" s="15" t="s">
        <v>118</v>
      </c>
      <c r="G25" s="1"/>
      <c r="H25" s="4"/>
      <c r="I25" s="4"/>
    </row>
    <row r="26" spans="1:9" s="52" customFormat="1" ht="16" customHeight="1" x14ac:dyDescent="0.4">
      <c r="A26" s="46" t="s">
        <v>104</v>
      </c>
      <c r="B26" s="46" t="s">
        <v>199</v>
      </c>
      <c r="C26" s="47">
        <v>2</v>
      </c>
      <c r="D26" s="47">
        <v>0</v>
      </c>
      <c r="E26" s="47">
        <v>2</v>
      </c>
      <c r="F26" s="46" t="s">
        <v>105</v>
      </c>
      <c r="G26" s="48"/>
      <c r="H26" s="49"/>
      <c r="I26" s="49"/>
    </row>
    <row r="27" spans="1:9" s="8" customFormat="1" ht="30" customHeight="1" x14ac:dyDescent="0.4">
      <c r="A27" s="15" t="s">
        <v>36</v>
      </c>
      <c r="B27" s="17" t="s">
        <v>102</v>
      </c>
      <c r="C27" s="18" t="s">
        <v>23</v>
      </c>
      <c r="D27" s="16">
        <v>0</v>
      </c>
      <c r="E27" s="18" t="s">
        <v>23</v>
      </c>
      <c r="F27" s="15" t="s">
        <v>22</v>
      </c>
      <c r="G27" s="1"/>
      <c r="H27" s="4"/>
      <c r="I27" s="4"/>
    </row>
    <row r="28" spans="1:9" s="4" customFormat="1" ht="14.5" customHeight="1" x14ac:dyDescent="0.4">
      <c r="A28" s="15"/>
      <c r="B28" s="15"/>
      <c r="C28" s="102" t="s">
        <v>24</v>
      </c>
      <c r="D28" s="102"/>
      <c r="E28" s="29">
        <f>SUM(E19:E27)</f>
        <v>23</v>
      </c>
      <c r="F28" s="15"/>
      <c r="G28" s="1"/>
    </row>
    <row r="29" spans="1:9" s="4" customFormat="1" ht="14.5" customHeight="1" x14ac:dyDescent="0.4">
      <c r="A29" s="106" t="s">
        <v>37</v>
      </c>
      <c r="B29" s="106"/>
      <c r="C29" s="106"/>
      <c r="D29" s="106"/>
      <c r="E29" s="106"/>
      <c r="F29" s="106"/>
      <c r="G29" s="1"/>
    </row>
    <row r="30" spans="1:9" s="5" customFormat="1" ht="16" customHeight="1" x14ac:dyDescent="0.4">
      <c r="A30" s="20" t="s">
        <v>47</v>
      </c>
      <c r="B30" s="20" t="s">
        <v>48</v>
      </c>
      <c r="C30" s="21">
        <v>2</v>
      </c>
      <c r="D30" s="21">
        <v>1</v>
      </c>
      <c r="E30" s="21">
        <v>3</v>
      </c>
      <c r="F30" s="20" t="s">
        <v>26</v>
      </c>
      <c r="G30" s="1"/>
      <c r="H30" s="4"/>
      <c r="I30" s="4"/>
    </row>
    <row r="31" spans="1:9" s="5" customFormat="1" ht="16" customHeight="1" x14ac:dyDescent="0.4">
      <c r="A31" s="15" t="s">
        <v>158</v>
      </c>
      <c r="B31" s="15" t="s">
        <v>159</v>
      </c>
      <c r="C31" s="16">
        <v>3</v>
      </c>
      <c r="D31" s="16">
        <v>0</v>
      </c>
      <c r="E31" s="16">
        <f>SUM(C31:D31)</f>
        <v>3</v>
      </c>
      <c r="F31" s="15" t="s">
        <v>29</v>
      </c>
      <c r="G31" s="1"/>
      <c r="H31" s="4"/>
      <c r="I31" s="4"/>
    </row>
    <row r="32" spans="1:9" s="10" customFormat="1" ht="16" customHeight="1" x14ac:dyDescent="0.4">
      <c r="A32" s="20" t="s">
        <v>63</v>
      </c>
      <c r="B32" s="20" t="s">
        <v>204</v>
      </c>
      <c r="C32" s="21">
        <v>2</v>
      </c>
      <c r="D32" s="21">
        <v>1</v>
      </c>
      <c r="E32" s="21">
        <v>3</v>
      </c>
      <c r="F32" s="20" t="s">
        <v>10</v>
      </c>
      <c r="G32" s="1"/>
    </row>
    <row r="33" spans="1:9" s="10" customFormat="1" ht="16" customHeight="1" x14ac:dyDescent="0.4">
      <c r="A33" s="15" t="s">
        <v>49</v>
      </c>
      <c r="B33" s="15" t="s">
        <v>50</v>
      </c>
      <c r="C33" s="16">
        <v>2</v>
      </c>
      <c r="D33" s="16">
        <v>1</v>
      </c>
      <c r="E33" s="16">
        <f>SUM(C33:D33)</f>
        <v>3</v>
      </c>
      <c r="F33" s="15" t="s">
        <v>26</v>
      </c>
      <c r="G33" s="1"/>
      <c r="H33" s="4"/>
      <c r="I33" s="4"/>
    </row>
    <row r="34" spans="1:9" s="10" customFormat="1" ht="16" customHeight="1" x14ac:dyDescent="0.4">
      <c r="A34" s="15" t="s">
        <v>42</v>
      </c>
      <c r="B34" s="15" t="s">
        <v>43</v>
      </c>
      <c r="C34" s="16">
        <v>2</v>
      </c>
      <c r="D34" s="16">
        <v>1</v>
      </c>
      <c r="E34" s="16">
        <f t="shared" ref="E34" si="3">SUM(C34:D34)</f>
        <v>3</v>
      </c>
      <c r="F34" s="15" t="s">
        <v>26</v>
      </c>
      <c r="G34" s="1"/>
      <c r="H34" s="4"/>
      <c r="I34" s="4" t="s">
        <v>120</v>
      </c>
    </row>
    <row r="35" spans="1:9" s="9" customFormat="1" ht="16" customHeight="1" x14ac:dyDescent="0.4">
      <c r="A35" s="20" t="s">
        <v>154</v>
      </c>
      <c r="B35" s="20" t="s">
        <v>175</v>
      </c>
      <c r="C35" s="21">
        <v>3</v>
      </c>
      <c r="D35" s="21">
        <v>0</v>
      </c>
      <c r="E35" s="21">
        <v>3</v>
      </c>
      <c r="F35" s="20" t="s">
        <v>146</v>
      </c>
      <c r="G35" s="1"/>
      <c r="H35" s="4"/>
      <c r="I35" s="4"/>
    </row>
    <row r="36" spans="1:9" s="6" customFormat="1" ht="16" customHeight="1" x14ac:dyDescent="0.4">
      <c r="A36" s="15" t="s">
        <v>44</v>
      </c>
      <c r="B36" s="15" t="s">
        <v>45</v>
      </c>
      <c r="C36" s="16">
        <v>3</v>
      </c>
      <c r="D36" s="16">
        <v>0</v>
      </c>
      <c r="E36" s="16">
        <f t="shared" ref="E36" si="4">SUM(C36:D36)</f>
        <v>3</v>
      </c>
      <c r="F36" s="15" t="s">
        <v>118</v>
      </c>
      <c r="G36" s="1"/>
      <c r="H36" s="4"/>
      <c r="I36" s="4"/>
    </row>
    <row r="37" spans="1:9" s="52" customFormat="1" ht="16" customHeight="1" x14ac:dyDescent="0.4">
      <c r="A37" s="46" t="s">
        <v>59</v>
      </c>
      <c r="B37" s="53" t="s">
        <v>200</v>
      </c>
      <c r="C37" s="47">
        <v>2</v>
      </c>
      <c r="D37" s="47">
        <v>0</v>
      </c>
      <c r="E37" s="47">
        <v>2</v>
      </c>
      <c r="F37" s="46" t="s">
        <v>105</v>
      </c>
      <c r="G37" s="48"/>
      <c r="H37" s="49"/>
      <c r="I37" s="49"/>
    </row>
    <row r="38" spans="1:9" s="4" customFormat="1" ht="16" customHeight="1" x14ac:dyDescent="0.4">
      <c r="A38" s="15"/>
      <c r="B38" s="54" t="s">
        <v>201</v>
      </c>
      <c r="C38" s="102" t="s">
        <v>24</v>
      </c>
      <c r="D38" s="102"/>
      <c r="E38" s="29">
        <f>SUM(E30:E37)</f>
        <v>23</v>
      </c>
      <c r="F38" s="15"/>
      <c r="G38" s="1"/>
    </row>
    <row r="39" spans="1:9" s="4" customFormat="1" ht="16" customHeight="1" x14ac:dyDescent="0.4">
      <c r="A39" s="106" t="s">
        <v>46</v>
      </c>
      <c r="B39" s="106"/>
      <c r="C39" s="106"/>
      <c r="D39" s="106"/>
      <c r="E39" s="106"/>
      <c r="F39" s="106"/>
      <c r="G39" s="1"/>
      <c r="I39" s="4" t="s">
        <v>120</v>
      </c>
    </row>
    <row r="40" spans="1:9" s="10" customFormat="1" ht="16" customHeight="1" x14ac:dyDescent="0.4">
      <c r="A40" s="20" t="s">
        <v>185</v>
      </c>
      <c r="B40" s="20" t="s">
        <v>94</v>
      </c>
      <c r="C40" s="21">
        <v>2</v>
      </c>
      <c r="D40" s="21">
        <v>1</v>
      </c>
      <c r="E40" s="21">
        <v>3</v>
      </c>
      <c r="F40" s="20" t="s">
        <v>118</v>
      </c>
      <c r="G40" s="1"/>
    </row>
    <row r="41" spans="1:9" s="10" customFormat="1" ht="16" customHeight="1" x14ac:dyDescent="0.4">
      <c r="A41" s="15" t="s">
        <v>31</v>
      </c>
      <c r="B41" s="15" t="s">
        <v>32</v>
      </c>
      <c r="C41" s="16">
        <v>2</v>
      </c>
      <c r="D41" s="16">
        <v>1</v>
      </c>
      <c r="E41" s="16">
        <f>SUM(C41:D41)</f>
        <v>3</v>
      </c>
      <c r="F41" s="15" t="s">
        <v>10</v>
      </c>
      <c r="G41" s="1"/>
      <c r="H41" s="4"/>
      <c r="I41" s="4"/>
    </row>
    <row r="42" spans="1:9" s="10" customFormat="1" ht="16" customHeight="1" x14ac:dyDescent="0.4">
      <c r="A42" s="15" t="s">
        <v>51</v>
      </c>
      <c r="B42" s="15" t="s">
        <v>52</v>
      </c>
      <c r="C42" s="16">
        <v>2</v>
      </c>
      <c r="D42" s="16">
        <v>1</v>
      </c>
      <c r="E42" s="16">
        <f t="shared" ref="E42" si="5">SUM(C42:D42)</f>
        <v>3</v>
      </c>
      <c r="F42" s="15" t="s">
        <v>42</v>
      </c>
      <c r="G42" s="1"/>
      <c r="H42" s="4"/>
      <c r="I42" s="4"/>
    </row>
    <row r="43" spans="1:9" s="10" customFormat="1" ht="16" customHeight="1" x14ac:dyDescent="0.4">
      <c r="A43" s="20" t="s">
        <v>149</v>
      </c>
      <c r="B43" s="20" t="s">
        <v>53</v>
      </c>
      <c r="C43" s="21">
        <v>2</v>
      </c>
      <c r="D43" s="21">
        <v>1</v>
      </c>
      <c r="E43" s="21">
        <v>3</v>
      </c>
      <c r="F43" s="20" t="s">
        <v>118</v>
      </c>
      <c r="G43" s="1"/>
      <c r="H43" s="4"/>
      <c r="I43" s="4"/>
    </row>
    <row r="44" spans="1:9" s="9" customFormat="1" ht="16" customHeight="1" x14ac:dyDescent="0.4">
      <c r="A44" s="20" t="s">
        <v>194</v>
      </c>
      <c r="B44" s="20" t="s">
        <v>28</v>
      </c>
      <c r="C44" s="21">
        <v>3</v>
      </c>
      <c r="D44" s="21">
        <v>0</v>
      </c>
      <c r="E44" s="21">
        <v>3</v>
      </c>
      <c r="F44" s="20" t="s">
        <v>118</v>
      </c>
      <c r="G44" s="1"/>
      <c r="H44" s="4"/>
      <c r="I44" s="4"/>
    </row>
    <row r="45" spans="1:9" s="9" customFormat="1" ht="16" customHeight="1" x14ac:dyDescent="0.4">
      <c r="A45" s="20" t="s">
        <v>155</v>
      </c>
      <c r="B45" s="20" t="s">
        <v>54</v>
      </c>
      <c r="C45" s="21">
        <v>3</v>
      </c>
      <c r="D45" s="21">
        <v>0</v>
      </c>
      <c r="E45" s="21">
        <v>3</v>
      </c>
      <c r="F45" s="20" t="s">
        <v>146</v>
      </c>
      <c r="G45" s="1"/>
      <c r="H45" s="4"/>
      <c r="I45" s="4"/>
    </row>
    <row r="46" spans="1:9" s="7" customFormat="1" ht="16" customHeight="1" x14ac:dyDescent="0.4">
      <c r="A46" s="15" t="s">
        <v>57</v>
      </c>
      <c r="B46" s="15" t="s">
        <v>58</v>
      </c>
      <c r="C46" s="16">
        <v>3</v>
      </c>
      <c r="D46" s="16">
        <v>0</v>
      </c>
      <c r="E46" s="16">
        <f>SUM(C46:D46)</f>
        <v>3</v>
      </c>
      <c r="F46" s="15" t="s">
        <v>118</v>
      </c>
      <c r="G46" s="1"/>
      <c r="H46" s="4"/>
      <c r="I46" s="4"/>
    </row>
    <row r="47" spans="1:9" s="8" customFormat="1" ht="16" customHeight="1" x14ac:dyDescent="0.4">
      <c r="A47" s="46" t="s">
        <v>103</v>
      </c>
      <c r="B47" s="53" t="s">
        <v>200</v>
      </c>
      <c r="C47" s="47">
        <v>2</v>
      </c>
      <c r="D47" s="47">
        <v>0</v>
      </c>
      <c r="E47" s="47">
        <v>2</v>
      </c>
      <c r="F47" s="46" t="s">
        <v>105</v>
      </c>
      <c r="G47" s="1"/>
      <c r="H47" s="4"/>
      <c r="I47" s="4"/>
    </row>
    <row r="48" spans="1:9" s="4" customFormat="1" ht="16" customHeight="1" x14ac:dyDescent="0.4">
      <c r="A48" s="15"/>
      <c r="B48" s="54" t="s">
        <v>202</v>
      </c>
      <c r="C48" s="102" t="s">
        <v>24</v>
      </c>
      <c r="D48" s="102"/>
      <c r="E48" s="29">
        <f>SUM(E40:E47)</f>
        <v>23</v>
      </c>
      <c r="F48" s="15"/>
      <c r="G48" s="1"/>
    </row>
    <row r="49" spans="1:9" s="4" customFormat="1" ht="14.5" customHeight="1" x14ac:dyDescent="0.4">
      <c r="A49" s="106" t="s">
        <v>60</v>
      </c>
      <c r="B49" s="106"/>
      <c r="C49" s="106"/>
      <c r="D49" s="106"/>
      <c r="E49" s="106"/>
      <c r="F49" s="106"/>
      <c r="G49" s="1"/>
    </row>
    <row r="50" spans="1:9" s="10" customFormat="1" ht="16" customHeight="1" x14ac:dyDescent="0.4">
      <c r="A50" s="15" t="s">
        <v>61</v>
      </c>
      <c r="B50" s="15" t="s">
        <v>62</v>
      </c>
      <c r="C50" s="16">
        <v>3</v>
      </c>
      <c r="D50" s="16">
        <v>0</v>
      </c>
      <c r="E50" s="16">
        <f t="shared" ref="E50" si="6">SUM(C50:D50)</f>
        <v>3</v>
      </c>
      <c r="F50" s="15" t="s">
        <v>38</v>
      </c>
      <c r="G50" s="1"/>
      <c r="H50" s="4"/>
      <c r="I50" s="4"/>
    </row>
    <row r="51" spans="1:9" s="10" customFormat="1" ht="16" customHeight="1" x14ac:dyDescent="0.4">
      <c r="A51" s="20" t="s">
        <v>148</v>
      </c>
      <c r="B51" s="20" t="s">
        <v>189</v>
      </c>
      <c r="C51" s="21">
        <v>3</v>
      </c>
      <c r="D51" s="21">
        <v>0</v>
      </c>
      <c r="E51" s="21">
        <v>3</v>
      </c>
      <c r="F51" s="20" t="s">
        <v>51</v>
      </c>
      <c r="G51" s="1"/>
    </row>
    <row r="52" spans="1:9" s="9" customFormat="1" ht="16" customHeight="1" x14ac:dyDescent="0.4">
      <c r="A52" s="20" t="s">
        <v>147</v>
      </c>
      <c r="B52" s="20" t="s">
        <v>205</v>
      </c>
      <c r="C52" s="21">
        <v>2</v>
      </c>
      <c r="D52" s="21">
        <v>1</v>
      </c>
      <c r="E52" s="21">
        <v>3</v>
      </c>
      <c r="F52" s="20" t="s">
        <v>63</v>
      </c>
      <c r="G52" s="1"/>
      <c r="H52" s="4"/>
      <c r="I52" s="4"/>
    </row>
    <row r="53" spans="1:9" s="9" customFormat="1" ht="16" customHeight="1" x14ac:dyDescent="0.4">
      <c r="A53" s="20" t="s">
        <v>137</v>
      </c>
      <c r="B53" s="20" t="s">
        <v>136</v>
      </c>
      <c r="C53" s="21">
        <v>2</v>
      </c>
      <c r="D53" s="21">
        <v>1</v>
      </c>
      <c r="E53" s="16">
        <f>SUM(C53:D53)</f>
        <v>3</v>
      </c>
      <c r="F53" s="15" t="s">
        <v>10</v>
      </c>
      <c r="G53" s="1"/>
    </row>
    <row r="54" spans="1:9" s="55" customFormat="1" ht="16" customHeight="1" x14ac:dyDescent="0.4">
      <c r="A54" s="46" t="s">
        <v>178</v>
      </c>
      <c r="B54" s="46" t="s">
        <v>179</v>
      </c>
      <c r="C54" s="47">
        <v>2</v>
      </c>
      <c r="D54" s="47">
        <v>1</v>
      </c>
      <c r="E54" s="47">
        <f t="shared" ref="E54" si="7">SUM(C54:D54)</f>
        <v>3</v>
      </c>
      <c r="F54" s="46" t="s">
        <v>118</v>
      </c>
      <c r="G54" s="48"/>
      <c r="H54" s="49"/>
      <c r="I54" s="49"/>
    </row>
    <row r="55" spans="1:9" s="9" customFormat="1" ht="16" customHeight="1" x14ac:dyDescent="0.4">
      <c r="A55" s="15" t="s">
        <v>134</v>
      </c>
      <c r="B55" s="15" t="s">
        <v>67</v>
      </c>
      <c r="C55" s="16">
        <v>2</v>
      </c>
      <c r="D55" s="16">
        <v>1</v>
      </c>
      <c r="E55" s="16">
        <f>SUM(C55:D55)</f>
        <v>3</v>
      </c>
      <c r="F55" s="15" t="s">
        <v>118</v>
      </c>
      <c r="G55" s="1"/>
      <c r="H55" s="4"/>
      <c r="I55" s="4"/>
    </row>
    <row r="56" spans="1:9" s="11" customFormat="1" ht="16" customHeight="1" x14ac:dyDescent="0.4">
      <c r="A56" s="20" t="s">
        <v>151</v>
      </c>
      <c r="B56" s="20" t="s">
        <v>66</v>
      </c>
      <c r="C56" s="21">
        <v>2</v>
      </c>
      <c r="D56" s="21">
        <v>1</v>
      </c>
      <c r="E56" s="21">
        <v>3</v>
      </c>
      <c r="F56" s="20" t="s">
        <v>149</v>
      </c>
      <c r="G56" s="1"/>
      <c r="H56" s="4"/>
      <c r="I56" s="4"/>
    </row>
    <row r="57" spans="1:9" s="4" customFormat="1" ht="16" customHeight="1" x14ac:dyDescent="0.4">
      <c r="A57" s="15" t="s">
        <v>73</v>
      </c>
      <c r="B57" s="15" t="s">
        <v>74</v>
      </c>
      <c r="C57" s="16">
        <v>3</v>
      </c>
      <c r="D57" s="16">
        <v>0</v>
      </c>
      <c r="E57" s="16">
        <f>SUM(C57:D57)</f>
        <v>3</v>
      </c>
      <c r="F57" s="15" t="s">
        <v>118</v>
      </c>
      <c r="G57" s="1"/>
    </row>
    <row r="58" spans="1:9" s="4" customFormat="1" ht="16" customHeight="1" x14ac:dyDescent="0.4">
      <c r="A58" s="15"/>
      <c r="B58" s="15"/>
      <c r="C58" s="102" t="s">
        <v>24</v>
      </c>
      <c r="D58" s="102"/>
      <c r="E58" s="29">
        <f>SUM(E50:E57)</f>
        <v>24</v>
      </c>
      <c r="F58" s="15"/>
      <c r="G58" s="1"/>
    </row>
    <row r="59" spans="1:9" s="9" customFormat="1" ht="14.5" customHeight="1" x14ac:dyDescent="0.4">
      <c r="A59" s="106" t="s">
        <v>68</v>
      </c>
      <c r="B59" s="106"/>
      <c r="C59" s="106"/>
      <c r="D59" s="106"/>
      <c r="E59" s="106"/>
      <c r="F59" s="106"/>
      <c r="G59" s="1"/>
      <c r="H59" s="4"/>
      <c r="I59" s="4"/>
    </row>
    <row r="60" spans="1:9" s="56" customFormat="1" ht="16" customHeight="1" x14ac:dyDescent="0.4">
      <c r="A60" s="46" t="s">
        <v>176</v>
      </c>
      <c r="B60" s="46" t="s">
        <v>177</v>
      </c>
      <c r="C60" s="47">
        <v>2</v>
      </c>
      <c r="D60" s="47">
        <v>1</v>
      </c>
      <c r="E60" s="47">
        <f>SUM(C60:D60)</f>
        <v>3</v>
      </c>
      <c r="F60" s="46" t="s">
        <v>178</v>
      </c>
      <c r="G60" s="48"/>
      <c r="H60" s="49"/>
      <c r="I60" s="49"/>
    </row>
    <row r="61" spans="1:9" s="12" customFormat="1" ht="16" customHeight="1" x14ac:dyDescent="0.4">
      <c r="A61" s="15" t="s">
        <v>145</v>
      </c>
      <c r="B61" s="15" t="s">
        <v>69</v>
      </c>
      <c r="C61" s="16">
        <v>3</v>
      </c>
      <c r="D61" s="16">
        <v>0</v>
      </c>
      <c r="E61" s="16">
        <f>SUM(C61:D61)</f>
        <v>3</v>
      </c>
      <c r="F61" s="15" t="s">
        <v>61</v>
      </c>
      <c r="G61" s="1"/>
      <c r="H61" s="4"/>
      <c r="I61" s="4"/>
    </row>
    <row r="62" spans="1:9" s="9" customFormat="1" ht="16" customHeight="1" x14ac:dyDescent="0.4">
      <c r="A62" s="20" t="s">
        <v>150</v>
      </c>
      <c r="B62" s="20" t="s">
        <v>188</v>
      </c>
      <c r="C62" s="21">
        <v>2</v>
      </c>
      <c r="D62" s="21">
        <v>1</v>
      </c>
      <c r="E62" s="21">
        <v>3</v>
      </c>
      <c r="F62" s="20" t="s">
        <v>147</v>
      </c>
      <c r="G62" s="1"/>
      <c r="H62" s="4"/>
      <c r="I62" s="4"/>
    </row>
    <row r="63" spans="1:9" s="9" customFormat="1" ht="16" customHeight="1" x14ac:dyDescent="0.4">
      <c r="A63" s="15" t="s">
        <v>70</v>
      </c>
      <c r="B63" s="15" t="s">
        <v>71</v>
      </c>
      <c r="C63" s="16">
        <v>3</v>
      </c>
      <c r="D63" s="16">
        <v>0</v>
      </c>
      <c r="E63" s="16">
        <f>SUM(C63:D63)</f>
        <v>3</v>
      </c>
      <c r="F63" s="15" t="s">
        <v>148</v>
      </c>
      <c r="G63" s="1"/>
      <c r="H63" s="4"/>
      <c r="I63" s="4"/>
    </row>
    <row r="64" spans="1:9" s="9" customFormat="1" ht="16" customHeight="1" x14ac:dyDescent="0.4">
      <c r="A64" s="15" t="s">
        <v>135</v>
      </c>
      <c r="B64" s="15" t="s">
        <v>72</v>
      </c>
      <c r="C64" s="16">
        <v>2</v>
      </c>
      <c r="D64" s="16">
        <v>1</v>
      </c>
      <c r="E64" s="16">
        <f t="shared" ref="E64" si="8">SUM(C64:D64)</f>
        <v>3</v>
      </c>
      <c r="F64" s="15" t="s">
        <v>118</v>
      </c>
      <c r="G64" s="1"/>
      <c r="H64" s="4"/>
      <c r="I64" s="4"/>
    </row>
    <row r="65" spans="1:9" s="49" customFormat="1" ht="16" customHeight="1" x14ac:dyDescent="0.4">
      <c r="A65" s="46" t="s">
        <v>197</v>
      </c>
      <c r="B65" s="46" t="s">
        <v>206</v>
      </c>
      <c r="C65" s="47">
        <v>3</v>
      </c>
      <c r="D65" s="47">
        <v>0</v>
      </c>
      <c r="E65" s="47">
        <v>3</v>
      </c>
      <c r="F65" s="46" t="s">
        <v>18</v>
      </c>
      <c r="G65" s="48"/>
    </row>
    <row r="66" spans="1:9" s="4" customFormat="1" ht="16" customHeight="1" x14ac:dyDescent="0.4">
      <c r="A66" s="15" t="s">
        <v>55</v>
      </c>
      <c r="B66" s="15" t="s">
        <v>56</v>
      </c>
      <c r="C66" s="19">
        <v>3</v>
      </c>
      <c r="D66" s="16">
        <v>0</v>
      </c>
      <c r="E66" s="19" t="s">
        <v>23</v>
      </c>
      <c r="F66" s="15" t="s">
        <v>118</v>
      </c>
      <c r="G66" s="1"/>
    </row>
    <row r="67" spans="1:9" s="4" customFormat="1" ht="18" customHeight="1" x14ac:dyDescent="0.4">
      <c r="A67" s="15"/>
      <c r="B67" s="15"/>
      <c r="C67" s="102" t="s">
        <v>24</v>
      </c>
      <c r="D67" s="102"/>
      <c r="E67" s="29">
        <f>SUM(E60:E66)</f>
        <v>18</v>
      </c>
      <c r="F67" s="15"/>
      <c r="G67" s="1"/>
    </row>
    <row r="68" spans="1:9" s="10" customFormat="1" ht="14.5" customHeight="1" x14ac:dyDescent="0.4">
      <c r="A68" s="106" t="s">
        <v>75</v>
      </c>
      <c r="B68" s="106"/>
      <c r="C68" s="106"/>
      <c r="D68" s="106"/>
      <c r="E68" s="106"/>
      <c r="F68" s="106"/>
      <c r="G68" s="1"/>
      <c r="H68" s="4"/>
      <c r="I68" s="4"/>
    </row>
    <row r="69" spans="1:9" s="10" customFormat="1" ht="16" customHeight="1" x14ac:dyDescent="0.4">
      <c r="A69" s="15" t="s">
        <v>78</v>
      </c>
      <c r="B69" s="15" t="s">
        <v>79</v>
      </c>
      <c r="C69" s="16">
        <v>3</v>
      </c>
      <c r="D69" s="16">
        <v>0</v>
      </c>
      <c r="E69" s="16">
        <f t="shared" ref="E69:E71" si="9">SUM(C69:D69)</f>
        <v>3</v>
      </c>
      <c r="F69" s="15" t="s">
        <v>40</v>
      </c>
      <c r="G69" s="1"/>
      <c r="H69" s="4"/>
      <c r="I69" s="4"/>
    </row>
    <row r="70" spans="1:9" s="10" customFormat="1" ht="16" customHeight="1" x14ac:dyDescent="0.4">
      <c r="A70" s="20" t="s">
        <v>76</v>
      </c>
      <c r="B70" s="20" t="s">
        <v>77</v>
      </c>
      <c r="C70" s="21">
        <v>2</v>
      </c>
      <c r="D70" s="21">
        <v>1</v>
      </c>
      <c r="E70" s="16">
        <f t="shared" si="9"/>
        <v>3</v>
      </c>
      <c r="F70" s="15" t="s">
        <v>10</v>
      </c>
      <c r="G70" s="1"/>
      <c r="H70" s="4"/>
      <c r="I70" s="4"/>
    </row>
    <row r="71" spans="1:9" s="4" customFormat="1" ht="16" customHeight="1" x14ac:dyDescent="0.4">
      <c r="A71" s="15" t="s">
        <v>64</v>
      </c>
      <c r="B71" s="15" t="s">
        <v>65</v>
      </c>
      <c r="C71" s="16">
        <v>3</v>
      </c>
      <c r="D71" s="16">
        <v>0</v>
      </c>
      <c r="E71" s="16">
        <f t="shared" si="9"/>
        <v>3</v>
      </c>
      <c r="F71" s="15" t="s">
        <v>38</v>
      </c>
      <c r="G71" s="1"/>
    </row>
    <row r="72" spans="1:9" s="4" customFormat="1" ht="14.5" customHeight="1" x14ac:dyDescent="0.4">
      <c r="A72" s="15"/>
      <c r="B72" s="15"/>
      <c r="C72" s="102" t="s">
        <v>24</v>
      </c>
      <c r="D72" s="102"/>
      <c r="E72" s="29">
        <f>SUM(E69:E71)</f>
        <v>9</v>
      </c>
      <c r="F72" s="15"/>
      <c r="G72" s="1"/>
    </row>
    <row r="73" spans="1:9" s="9" customFormat="1" ht="14.5" customHeight="1" x14ac:dyDescent="0.4">
      <c r="A73" s="110" t="s">
        <v>80</v>
      </c>
      <c r="B73" s="110"/>
      <c r="C73" s="110"/>
      <c r="D73" s="110"/>
      <c r="E73" s="110"/>
      <c r="F73" s="110"/>
      <c r="G73" s="1"/>
    </row>
    <row r="74" spans="1:9" s="9" customFormat="1" ht="16" customHeight="1" x14ac:dyDescent="0.4">
      <c r="A74" s="20" t="s">
        <v>153</v>
      </c>
      <c r="B74" s="20" t="s">
        <v>82</v>
      </c>
      <c r="C74" s="21">
        <v>3</v>
      </c>
      <c r="D74" s="21">
        <v>0</v>
      </c>
      <c r="E74" s="21">
        <v>3</v>
      </c>
      <c r="F74" s="20" t="s">
        <v>118</v>
      </c>
      <c r="G74" s="1"/>
      <c r="H74" s="4"/>
      <c r="I74" s="4"/>
    </row>
    <row r="75" spans="1:9" s="10" customFormat="1" ht="16" customHeight="1" x14ac:dyDescent="0.4">
      <c r="A75" s="20" t="s">
        <v>152</v>
      </c>
      <c r="B75" s="20" t="s">
        <v>81</v>
      </c>
      <c r="C75" s="21">
        <v>2</v>
      </c>
      <c r="D75" s="21">
        <v>1</v>
      </c>
      <c r="E75" s="21">
        <v>3</v>
      </c>
      <c r="F75" s="20" t="s">
        <v>29</v>
      </c>
      <c r="G75" s="1"/>
      <c r="H75" s="4"/>
      <c r="I75" s="4"/>
    </row>
    <row r="76" spans="1:9" s="12" customFormat="1" ht="16" customHeight="1" x14ac:dyDescent="0.4">
      <c r="A76" s="15" t="s">
        <v>86</v>
      </c>
      <c r="B76" s="15" t="s">
        <v>87</v>
      </c>
      <c r="C76" s="16">
        <v>3</v>
      </c>
      <c r="D76" s="16">
        <v>0</v>
      </c>
      <c r="E76" s="21">
        <f t="shared" ref="E76:E77" si="10">SUM(C76:D76)</f>
        <v>3</v>
      </c>
      <c r="F76" s="15" t="s">
        <v>10</v>
      </c>
      <c r="G76" s="1"/>
      <c r="H76" s="4"/>
      <c r="I76" s="4"/>
    </row>
    <row r="77" spans="1:9" s="11" customFormat="1" ht="16" customHeight="1" x14ac:dyDescent="0.4">
      <c r="A77" s="20" t="s">
        <v>83</v>
      </c>
      <c r="B77" s="20" t="s">
        <v>84</v>
      </c>
      <c r="C77" s="21">
        <v>3</v>
      </c>
      <c r="D77" s="21">
        <v>0</v>
      </c>
      <c r="E77" s="21">
        <f t="shared" si="10"/>
        <v>3</v>
      </c>
      <c r="F77" s="20" t="s">
        <v>70</v>
      </c>
      <c r="G77" s="1"/>
      <c r="H77" s="4"/>
      <c r="I77" s="4"/>
    </row>
    <row r="78" spans="1:9" s="6" customFormat="1" ht="16" customHeight="1" x14ac:dyDescent="0.4">
      <c r="A78" s="20" t="s">
        <v>138</v>
      </c>
      <c r="B78" s="20" t="s">
        <v>85</v>
      </c>
      <c r="C78" s="21">
        <v>2</v>
      </c>
      <c r="D78" s="21">
        <v>1</v>
      </c>
      <c r="E78" s="21">
        <f t="shared" ref="E78:E79" si="11">SUM(C78:D78)</f>
        <v>3</v>
      </c>
      <c r="F78" s="15" t="s">
        <v>118</v>
      </c>
      <c r="G78" s="1"/>
      <c r="H78" s="4"/>
      <c r="I78" s="4"/>
    </row>
    <row r="79" spans="1:9" s="6" customFormat="1" ht="16" customHeight="1" x14ac:dyDescent="0.4">
      <c r="A79" s="15" t="s">
        <v>88</v>
      </c>
      <c r="B79" s="15" t="s">
        <v>89</v>
      </c>
      <c r="C79" s="16">
        <v>3</v>
      </c>
      <c r="D79" s="16">
        <v>0</v>
      </c>
      <c r="E79" s="21">
        <f t="shared" si="11"/>
        <v>3</v>
      </c>
      <c r="F79" s="15" t="s">
        <v>118</v>
      </c>
      <c r="G79" s="1"/>
      <c r="H79" s="4"/>
      <c r="I79" s="4"/>
    </row>
    <row r="80" spans="1:9" s="4" customFormat="1" ht="16" customHeight="1" x14ac:dyDescent="0.4">
      <c r="A80" s="15"/>
      <c r="B80" s="15"/>
      <c r="C80" s="102" t="s">
        <v>24</v>
      </c>
      <c r="D80" s="102"/>
      <c r="E80" s="29">
        <f>SUM(E74:E79)</f>
        <v>18</v>
      </c>
      <c r="F80" s="15"/>
      <c r="G80" s="1"/>
    </row>
    <row r="81" spans="1:9" s="4" customFormat="1" ht="14.5" customHeight="1" x14ac:dyDescent="0.4">
      <c r="A81" s="110" t="s">
        <v>90</v>
      </c>
      <c r="B81" s="110"/>
      <c r="C81" s="110"/>
      <c r="D81" s="110"/>
      <c r="E81" s="110"/>
      <c r="F81" s="110"/>
      <c r="G81" s="1"/>
    </row>
    <row r="82" spans="1:9" s="12" customFormat="1" ht="16" customHeight="1" x14ac:dyDescent="0.4">
      <c r="A82" s="20" t="s">
        <v>139</v>
      </c>
      <c r="B82" s="20" t="s">
        <v>100</v>
      </c>
      <c r="C82" s="21">
        <v>6</v>
      </c>
      <c r="D82" s="21">
        <v>0</v>
      </c>
      <c r="E82" s="21">
        <v>6</v>
      </c>
      <c r="F82" s="20" t="s">
        <v>106</v>
      </c>
      <c r="G82" s="1"/>
      <c r="H82" s="4"/>
      <c r="I82" s="4"/>
    </row>
    <row r="83" spans="1:9" s="4" customFormat="1" ht="14.5" customHeight="1" x14ac:dyDescent="0.4">
      <c r="A83" s="20"/>
      <c r="B83" s="20"/>
      <c r="C83" s="111" t="s">
        <v>24</v>
      </c>
      <c r="D83" s="111"/>
      <c r="E83" s="30">
        <f>SUM(E82)</f>
        <v>6</v>
      </c>
      <c r="F83" s="20"/>
      <c r="G83" s="1"/>
    </row>
    <row r="84" spans="1:9" s="4" customFormat="1" ht="14.5" customHeight="1" x14ac:dyDescent="0.4">
      <c r="A84" s="107" t="s">
        <v>91</v>
      </c>
      <c r="B84" s="108"/>
      <c r="C84" s="108"/>
      <c r="D84" s="108"/>
      <c r="E84" s="108"/>
      <c r="F84" s="109"/>
      <c r="G84" s="1"/>
    </row>
    <row r="85" spans="1:9" s="4" customFormat="1" ht="16" customHeight="1" x14ac:dyDescent="0.4">
      <c r="A85" s="20" t="s">
        <v>186</v>
      </c>
      <c r="B85" s="20" t="s">
        <v>187</v>
      </c>
      <c r="C85" s="21">
        <v>2</v>
      </c>
      <c r="D85" s="21">
        <v>1</v>
      </c>
      <c r="E85" s="21">
        <v>3</v>
      </c>
      <c r="F85" s="20" t="s">
        <v>118</v>
      </c>
      <c r="G85" s="1"/>
    </row>
    <row r="86" spans="1:9" s="4" customFormat="1" ht="16" customHeight="1" x14ac:dyDescent="0.4">
      <c r="A86" s="20" t="s">
        <v>97</v>
      </c>
      <c r="B86" s="20" t="s">
        <v>98</v>
      </c>
      <c r="C86" s="21">
        <v>2</v>
      </c>
      <c r="D86" s="21">
        <v>1</v>
      </c>
      <c r="E86" s="21">
        <v>3</v>
      </c>
      <c r="F86" s="20" t="s">
        <v>118</v>
      </c>
      <c r="G86" s="1"/>
    </row>
    <row r="87" spans="1:9" s="4" customFormat="1" ht="16" customHeight="1" x14ac:dyDescent="0.4">
      <c r="A87" s="20" t="s">
        <v>92</v>
      </c>
      <c r="B87" s="20" t="s">
        <v>93</v>
      </c>
      <c r="C87" s="21">
        <v>2</v>
      </c>
      <c r="D87" s="21">
        <v>1</v>
      </c>
      <c r="E87" s="21">
        <v>3</v>
      </c>
      <c r="F87" s="20" t="s">
        <v>118</v>
      </c>
      <c r="G87" s="1"/>
    </row>
    <row r="88" spans="1:9" s="4" customFormat="1" ht="16" customHeight="1" x14ac:dyDescent="0.4">
      <c r="A88" s="20" t="s">
        <v>95</v>
      </c>
      <c r="B88" s="20" t="s">
        <v>96</v>
      </c>
      <c r="C88" s="21">
        <v>2</v>
      </c>
      <c r="D88" s="21">
        <v>1</v>
      </c>
      <c r="E88" s="21">
        <v>3</v>
      </c>
      <c r="F88" s="20" t="s">
        <v>118</v>
      </c>
      <c r="G88" s="1"/>
    </row>
    <row r="89" spans="1:9" s="4" customFormat="1" ht="14.5" customHeight="1" x14ac:dyDescent="0.4">
      <c r="A89" s="107" t="s">
        <v>107</v>
      </c>
      <c r="B89" s="108"/>
      <c r="C89" s="108"/>
      <c r="D89" s="108"/>
      <c r="E89" s="108"/>
      <c r="F89" s="109"/>
      <c r="G89" s="1"/>
    </row>
    <row r="90" spans="1:9" s="4" customFormat="1" ht="16" customHeight="1" x14ac:dyDescent="0.4">
      <c r="A90" s="20" t="s">
        <v>146</v>
      </c>
      <c r="B90" s="20" t="s">
        <v>33</v>
      </c>
      <c r="C90" s="21">
        <v>3</v>
      </c>
      <c r="D90" s="21">
        <v>0</v>
      </c>
      <c r="E90" s="21">
        <v>3</v>
      </c>
      <c r="F90" s="20" t="s">
        <v>20</v>
      </c>
      <c r="G90" s="1"/>
    </row>
    <row r="91" spans="1:9" s="4" customFormat="1" ht="16" customHeight="1" x14ac:dyDescent="0.4">
      <c r="A91" s="20" t="s">
        <v>154</v>
      </c>
      <c r="B91" s="20" t="s">
        <v>175</v>
      </c>
      <c r="C91" s="21">
        <v>3</v>
      </c>
      <c r="D91" s="21">
        <v>0</v>
      </c>
      <c r="E91" s="21">
        <v>3</v>
      </c>
      <c r="F91" s="20" t="s">
        <v>146</v>
      </c>
      <c r="G91" s="1"/>
    </row>
    <row r="92" spans="1:9" s="4" customFormat="1" ht="16" customHeight="1" x14ac:dyDescent="0.4">
      <c r="A92" s="20" t="s">
        <v>155</v>
      </c>
      <c r="B92" s="20" t="s">
        <v>54</v>
      </c>
      <c r="C92" s="21">
        <v>3</v>
      </c>
      <c r="D92" s="21">
        <v>0</v>
      </c>
      <c r="E92" s="21">
        <v>3</v>
      </c>
      <c r="F92" s="20" t="s">
        <v>146</v>
      </c>
      <c r="G92" s="1"/>
    </row>
    <row r="93" spans="1:9" s="4" customFormat="1" ht="14.5" customHeight="1" x14ac:dyDescent="0.4">
      <c r="A93" s="107" t="s">
        <v>210</v>
      </c>
      <c r="B93" s="108"/>
      <c r="C93" s="108"/>
      <c r="D93" s="108"/>
      <c r="E93" s="108"/>
      <c r="F93" s="109"/>
      <c r="G93" s="1"/>
    </row>
    <row r="94" spans="1:9" s="4" customFormat="1" ht="16" customHeight="1" x14ac:dyDescent="0.4">
      <c r="A94" s="20" t="s">
        <v>194</v>
      </c>
      <c r="B94" s="20" t="s">
        <v>28</v>
      </c>
      <c r="C94" s="21">
        <v>3</v>
      </c>
      <c r="D94" s="21">
        <v>0</v>
      </c>
      <c r="E94" s="21">
        <v>3</v>
      </c>
      <c r="F94" s="20" t="s">
        <v>18</v>
      </c>
      <c r="G94" s="1"/>
    </row>
    <row r="95" spans="1:9" s="4" customFormat="1" ht="16" customHeight="1" x14ac:dyDescent="0.4">
      <c r="A95" s="20" t="s">
        <v>197</v>
      </c>
      <c r="B95" s="20" t="s">
        <v>206</v>
      </c>
      <c r="C95" s="21">
        <v>3</v>
      </c>
      <c r="D95" s="21">
        <v>0</v>
      </c>
      <c r="E95" s="21">
        <v>3</v>
      </c>
      <c r="F95" s="20" t="s">
        <v>18</v>
      </c>
      <c r="G95" s="1"/>
    </row>
    <row r="96" spans="1:9" s="4" customFormat="1" ht="14.5" customHeight="1" x14ac:dyDescent="0.4">
      <c r="A96" s="107" t="s">
        <v>99</v>
      </c>
      <c r="B96" s="108"/>
      <c r="C96" s="108"/>
      <c r="D96" s="108"/>
      <c r="E96" s="108"/>
      <c r="F96" s="109"/>
      <c r="G96" s="1"/>
    </row>
    <row r="97" spans="1:7" s="4" customFormat="1" ht="16" customHeight="1" x14ac:dyDescent="0.4">
      <c r="A97" s="20" t="s">
        <v>55</v>
      </c>
      <c r="B97" s="20" t="s">
        <v>56</v>
      </c>
      <c r="C97" s="21">
        <v>3</v>
      </c>
      <c r="D97" s="21">
        <v>0</v>
      </c>
      <c r="E97" s="21" t="s">
        <v>23</v>
      </c>
      <c r="F97" s="20" t="s">
        <v>118</v>
      </c>
      <c r="G97" s="1"/>
    </row>
    <row r="98" spans="1:7" s="4" customFormat="1" ht="14.5" customHeight="1" x14ac:dyDescent="0.4">
      <c r="A98" s="1"/>
      <c r="B98" s="1"/>
      <c r="C98" s="3"/>
      <c r="D98" s="3"/>
      <c r="E98" s="3"/>
      <c r="F98" s="1"/>
      <c r="G98" s="1"/>
    </row>
    <row r="99" spans="1:7" s="4" customFormat="1" ht="14.5" customHeight="1" x14ac:dyDescent="0.4">
      <c r="A99" s="1"/>
      <c r="B99" s="15" t="s">
        <v>109</v>
      </c>
      <c r="C99" s="29"/>
      <c r="D99" s="3"/>
      <c r="E99" s="3"/>
      <c r="F99" s="1"/>
      <c r="G99" s="1"/>
    </row>
    <row r="100" spans="1:7" s="4" customFormat="1" ht="14.5" customHeight="1" x14ac:dyDescent="0.4">
      <c r="A100" s="1"/>
      <c r="B100" s="22" t="s">
        <v>121</v>
      </c>
      <c r="C100" s="16">
        <v>27</v>
      </c>
      <c r="D100" s="3"/>
      <c r="E100" s="3"/>
      <c r="F100" s="1"/>
      <c r="G100" s="1"/>
    </row>
    <row r="101" spans="1:7" s="4" customFormat="1" ht="14.5" customHeight="1" x14ac:dyDescent="0.4">
      <c r="A101" s="1"/>
      <c r="B101" s="22" t="s">
        <v>211</v>
      </c>
      <c r="C101" s="16">
        <v>6</v>
      </c>
      <c r="D101" s="3"/>
      <c r="E101" s="3"/>
      <c r="F101" s="1"/>
      <c r="G101" s="1"/>
    </row>
    <row r="102" spans="1:7" s="4" customFormat="1" ht="14.5" customHeight="1" x14ac:dyDescent="0.4">
      <c r="A102" s="1"/>
      <c r="B102" s="22" t="s">
        <v>212</v>
      </c>
      <c r="C102" s="16">
        <v>6</v>
      </c>
      <c r="D102" s="3"/>
      <c r="E102" s="3"/>
      <c r="F102" s="1" t="s">
        <v>120</v>
      </c>
      <c r="G102" s="1"/>
    </row>
    <row r="103" spans="1:7" s="4" customFormat="1" ht="14.5" customHeight="1" x14ac:dyDescent="0.4">
      <c r="A103" s="1"/>
      <c r="B103" s="22" t="s">
        <v>110</v>
      </c>
      <c r="C103" s="16">
        <v>8</v>
      </c>
      <c r="D103" s="3"/>
      <c r="E103" s="3"/>
      <c r="F103" s="1"/>
      <c r="G103" s="1"/>
    </row>
    <row r="104" spans="1:7" s="4" customFormat="1" ht="14.5" customHeight="1" x14ac:dyDescent="0.4">
      <c r="A104" s="1"/>
      <c r="B104" s="22" t="s">
        <v>114</v>
      </c>
      <c r="C104" s="16">
        <v>9</v>
      </c>
      <c r="D104" s="3"/>
      <c r="E104" s="3"/>
      <c r="F104" s="1"/>
      <c r="G104" s="1"/>
    </row>
    <row r="105" spans="1:7" s="4" customFormat="1" ht="14.5" customHeight="1" x14ac:dyDescent="0.4">
      <c r="A105" s="1"/>
      <c r="B105" s="15" t="s">
        <v>116</v>
      </c>
      <c r="C105" s="19" t="s">
        <v>117</v>
      </c>
      <c r="D105" s="3"/>
      <c r="E105" s="3"/>
      <c r="F105" s="1"/>
      <c r="G105" s="1"/>
    </row>
    <row r="106" spans="1:7" s="4" customFormat="1" ht="14.5" customHeight="1" x14ac:dyDescent="0.4">
      <c r="A106" s="1"/>
      <c r="B106" s="15" t="s">
        <v>108</v>
      </c>
      <c r="C106" s="16">
        <v>18</v>
      </c>
      <c r="D106" s="3"/>
      <c r="E106" s="3"/>
      <c r="F106" s="1"/>
      <c r="G106" s="1"/>
    </row>
    <row r="107" spans="1:7" s="4" customFormat="1" ht="14.5" customHeight="1" x14ac:dyDescent="0.4">
      <c r="A107" s="1"/>
      <c r="B107" s="15" t="s">
        <v>111</v>
      </c>
      <c r="C107" s="16">
        <v>54</v>
      </c>
      <c r="D107" s="3"/>
      <c r="E107" s="3"/>
      <c r="F107" s="1"/>
      <c r="G107" s="1"/>
    </row>
    <row r="108" spans="1:7" s="4" customFormat="1" ht="14.5" customHeight="1" x14ac:dyDescent="0.4">
      <c r="A108" s="1"/>
      <c r="B108" s="15" t="s">
        <v>113</v>
      </c>
      <c r="C108" s="16">
        <v>30</v>
      </c>
      <c r="D108" s="3"/>
      <c r="E108" s="3"/>
      <c r="F108" s="1"/>
      <c r="G108" s="1"/>
    </row>
    <row r="109" spans="1:7" s="4" customFormat="1" ht="14.5" customHeight="1" x14ac:dyDescent="0.4">
      <c r="A109" s="1"/>
      <c r="B109" s="15" t="s">
        <v>112</v>
      </c>
      <c r="C109" s="16">
        <v>9</v>
      </c>
      <c r="D109" s="3"/>
      <c r="E109" s="3"/>
      <c r="F109" s="1"/>
      <c r="G109" s="1"/>
    </row>
    <row r="110" spans="1:7" s="4" customFormat="1" ht="14.5" customHeight="1" x14ac:dyDescent="0.4">
      <c r="A110" s="1"/>
      <c r="B110" s="15" t="s">
        <v>115</v>
      </c>
      <c r="C110" s="19" t="s">
        <v>23</v>
      </c>
      <c r="D110" s="3"/>
      <c r="E110" s="3"/>
      <c r="F110" s="1"/>
      <c r="G110" s="1"/>
    </row>
    <row r="111" spans="1:7" s="4" customFormat="1" ht="14.5" customHeight="1" x14ac:dyDescent="0.4">
      <c r="A111" s="1"/>
      <c r="B111" s="23" t="s">
        <v>119</v>
      </c>
      <c r="C111" s="29">
        <f>SUM(C100:C110)</f>
        <v>167</v>
      </c>
      <c r="D111" s="3"/>
      <c r="E111" s="42">
        <f>SUM(E17,E28,E38,E48,E58,E67,E72,E80,E83)</f>
        <v>167</v>
      </c>
      <c r="F111" s="1"/>
      <c r="G111" s="1"/>
    </row>
    <row r="112" spans="1:7" s="4" customFormat="1" ht="14.5" customHeight="1" x14ac:dyDescent="0.4">
      <c r="A112" s="1"/>
      <c r="B112" s="1"/>
      <c r="C112" s="3"/>
      <c r="D112" s="3"/>
      <c r="E112" s="3"/>
      <c r="F112" s="1"/>
      <c r="G112" s="1"/>
    </row>
    <row r="113" spans="1:7" s="4" customFormat="1" ht="14.5" customHeight="1" x14ac:dyDescent="0.4">
      <c r="A113" s="1" t="s">
        <v>123</v>
      </c>
      <c r="B113" s="1"/>
      <c r="D113" s="3"/>
      <c r="E113" s="3"/>
      <c r="F113" s="1"/>
      <c r="G113" s="1"/>
    </row>
    <row r="114" spans="1:7" s="4" customFormat="1" ht="14.5" customHeight="1" x14ac:dyDescent="0.4">
      <c r="A114" s="1"/>
      <c r="B114" s="1"/>
      <c r="D114" s="3"/>
      <c r="E114" s="3"/>
      <c r="F114" s="1"/>
      <c r="G114" s="1"/>
    </row>
    <row r="115" spans="1:7" ht="14.5" customHeight="1" x14ac:dyDescent="0.4">
      <c r="A115" s="25" t="s">
        <v>127</v>
      </c>
      <c r="C115" s="25" t="s">
        <v>125</v>
      </c>
    </row>
    <row r="116" spans="1:7" ht="14.5" customHeight="1" x14ac:dyDescent="0.4">
      <c r="A116" s="1" t="s">
        <v>124</v>
      </c>
      <c r="C116" s="1" t="s">
        <v>126</v>
      </c>
    </row>
    <row r="117" spans="1:7" ht="14.5" customHeight="1" x14ac:dyDescent="0.4">
      <c r="C117" s="1"/>
    </row>
    <row r="118" spans="1:7" ht="14.5" customHeight="1" x14ac:dyDescent="0.4">
      <c r="C118" s="1"/>
    </row>
    <row r="119" spans="1:7" ht="14.5" customHeight="1" x14ac:dyDescent="0.4">
      <c r="A119" s="24" t="s">
        <v>128</v>
      </c>
    </row>
    <row r="120" spans="1:7" ht="14.5" customHeight="1" x14ac:dyDescent="0.4">
      <c r="A120" s="3"/>
      <c r="C120" s="1"/>
    </row>
    <row r="121" spans="1:7" ht="14.5" customHeight="1" x14ac:dyDescent="0.4">
      <c r="A121" s="26" t="s">
        <v>129</v>
      </c>
    </row>
    <row r="122" spans="1:7" ht="14.5" customHeight="1" x14ac:dyDescent="0.4">
      <c r="A122" s="1" t="s">
        <v>130</v>
      </c>
    </row>
    <row r="124" spans="1:7" ht="14.5" customHeight="1" x14ac:dyDescent="0.4">
      <c r="A124" s="24" t="s">
        <v>156</v>
      </c>
      <c r="B124" s="4"/>
      <c r="C124" s="13"/>
      <c r="D124" s="13"/>
      <c r="E124" s="13"/>
      <c r="F124" s="4"/>
    </row>
    <row r="125" spans="1:7" ht="14.5" customHeight="1" x14ac:dyDescent="0.4">
      <c r="C125" s="1"/>
      <c r="D125" s="1"/>
      <c r="E125" s="13"/>
      <c r="F125" s="4"/>
    </row>
    <row r="126" spans="1:7" ht="14.5" customHeight="1" x14ac:dyDescent="0.4">
      <c r="A126" s="25" t="s">
        <v>132</v>
      </c>
      <c r="C126" s="1"/>
      <c r="D126" s="1"/>
      <c r="E126" s="13"/>
      <c r="F126" s="4"/>
    </row>
    <row r="127" spans="1:7" ht="14.5" customHeight="1" x14ac:dyDescent="0.4">
      <c r="A127" s="1" t="s">
        <v>133</v>
      </c>
      <c r="C127" s="1"/>
      <c r="D127" s="1"/>
      <c r="E127" s="13"/>
      <c r="F127" s="4"/>
    </row>
    <row r="128" spans="1:7" ht="14.5" customHeight="1" x14ac:dyDescent="0.4">
      <c r="B128" s="4"/>
      <c r="C128" s="13"/>
      <c r="D128" s="13"/>
      <c r="E128" s="13"/>
      <c r="F128" s="4"/>
    </row>
    <row r="129" spans="1:6" ht="14.5" customHeight="1" x14ac:dyDescent="0.4">
      <c r="B129" s="4"/>
      <c r="C129" s="13"/>
      <c r="D129" s="13"/>
      <c r="E129" s="13"/>
      <c r="F129" s="4"/>
    </row>
    <row r="130" spans="1:6" ht="14.5" customHeight="1" x14ac:dyDescent="0.4">
      <c r="A130" s="4"/>
      <c r="B130" s="4"/>
      <c r="C130" s="13"/>
      <c r="D130" s="13"/>
      <c r="E130" s="13"/>
      <c r="F130" s="4"/>
    </row>
    <row r="131" spans="1:6" ht="14.5" customHeight="1" x14ac:dyDescent="0.4">
      <c r="A131" s="112" t="s">
        <v>214</v>
      </c>
      <c r="B131" s="112"/>
      <c r="C131" s="112"/>
      <c r="D131" s="112"/>
      <c r="E131" s="13"/>
      <c r="F131" s="4"/>
    </row>
    <row r="132" spans="1:6" ht="14.5" customHeight="1" x14ac:dyDescent="0.4">
      <c r="A132" s="112" t="s">
        <v>216</v>
      </c>
      <c r="B132" s="112"/>
      <c r="C132" s="112"/>
      <c r="D132" s="112"/>
      <c r="E132" s="13"/>
      <c r="F132" s="4"/>
    </row>
    <row r="133" spans="1:6" ht="14.5" customHeight="1" x14ac:dyDescent="0.4">
      <c r="A133" s="112" t="s">
        <v>215</v>
      </c>
      <c r="B133" s="112"/>
      <c r="C133" s="112"/>
      <c r="D133" s="112"/>
      <c r="E133" s="13"/>
      <c r="F133" s="4"/>
    </row>
    <row r="134" spans="1:6" ht="14.5" customHeight="1" x14ac:dyDescent="0.4">
      <c r="A134" s="4"/>
      <c r="B134" s="4"/>
      <c r="C134" s="13"/>
      <c r="D134" s="13"/>
      <c r="E134" s="13"/>
      <c r="F134" s="4"/>
    </row>
    <row r="135" spans="1:6" ht="14.5" customHeight="1" x14ac:dyDescent="0.4">
      <c r="A135" s="4"/>
      <c r="B135" s="4"/>
      <c r="C135" s="13"/>
      <c r="D135" s="13"/>
      <c r="E135" s="13"/>
      <c r="F135" s="4"/>
    </row>
    <row r="136" spans="1:6" ht="14.5" customHeight="1" x14ac:dyDescent="0.4">
      <c r="A136" s="4"/>
      <c r="B136" s="4"/>
      <c r="C136" s="13"/>
      <c r="D136" s="13"/>
      <c r="E136" s="13"/>
      <c r="F136" s="4"/>
    </row>
  </sheetData>
  <mergeCells count="29">
    <mergeCell ref="A84:F84"/>
    <mergeCell ref="A89:F89"/>
    <mergeCell ref="A93:F93"/>
    <mergeCell ref="A96:F96"/>
    <mergeCell ref="A73:F73"/>
    <mergeCell ref="C80:D80"/>
    <mergeCell ref="A81:F81"/>
    <mergeCell ref="C83:D83"/>
    <mergeCell ref="A49:F49"/>
    <mergeCell ref="C58:D58"/>
    <mergeCell ref="A59:F59"/>
    <mergeCell ref="A68:F68"/>
    <mergeCell ref="C67:D67"/>
    <mergeCell ref="A131:D131"/>
    <mergeCell ref="A132:D132"/>
    <mergeCell ref="A133:D133"/>
    <mergeCell ref="C17:D17"/>
    <mergeCell ref="A1:F1"/>
    <mergeCell ref="A2:F2"/>
    <mergeCell ref="A3:F3"/>
    <mergeCell ref="A4:F4"/>
    <mergeCell ref="A7:F7"/>
    <mergeCell ref="C72:D72"/>
    <mergeCell ref="A18:F18"/>
    <mergeCell ref="C28:D28"/>
    <mergeCell ref="A29:F29"/>
    <mergeCell ref="C38:D38"/>
    <mergeCell ref="A39:F39"/>
    <mergeCell ref="C48:D48"/>
  </mergeCells>
  <printOptions horizontalCentered="1"/>
  <pageMargins left="0.6692913385826772" right="0.51181102362204722" top="0.27559055118110237" bottom="0.27559055118110237" header="0.31496062992125984" footer="0.31496062992125984"/>
  <pageSetup paperSize="256" scale="85" fitToWidth="0" fitToHeight="0" orientation="portrait" r:id="rId1"/>
  <rowBreaks count="1" manualBreakCount="1">
    <brk id="67" max="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3"/>
  <sheetViews>
    <sheetView tabSelected="1" view="pageBreakPreview" topLeftCell="A23" zoomScale="130" zoomScaleNormal="100" zoomScaleSheetLayoutView="130" workbookViewId="0">
      <selection activeCell="B43" sqref="B43"/>
    </sheetView>
  </sheetViews>
  <sheetFormatPr defaultColWidth="9.15234375" defaultRowHeight="14.15" x14ac:dyDescent="0.4"/>
  <cols>
    <col min="1" max="1" width="14.3828125" style="31" customWidth="1"/>
    <col min="2" max="2" width="52" style="31" customWidth="1"/>
    <col min="3" max="4" width="6.69140625" style="31" customWidth="1"/>
    <col min="5" max="5" width="12" style="31" customWidth="1"/>
    <col min="6" max="6" width="16.3046875" style="31" customWidth="1"/>
    <col min="7" max="16384" width="9.15234375" style="31"/>
  </cols>
  <sheetData>
    <row r="1" spans="1:7" s="1" customFormat="1" ht="19.95" customHeight="1" x14ac:dyDescent="0.4">
      <c r="A1" s="103" t="s">
        <v>0</v>
      </c>
      <c r="B1" s="103"/>
      <c r="C1" s="103"/>
      <c r="D1" s="103"/>
      <c r="E1" s="103"/>
      <c r="F1" s="103"/>
    </row>
    <row r="2" spans="1:7" s="1" customFormat="1" ht="14.5" customHeight="1" x14ac:dyDescent="0.4">
      <c r="A2" s="104" t="s">
        <v>1</v>
      </c>
      <c r="B2" s="104"/>
      <c r="C2" s="104"/>
      <c r="D2" s="104"/>
      <c r="E2" s="104"/>
      <c r="F2" s="104"/>
      <c r="G2" s="2"/>
    </row>
    <row r="3" spans="1:7" s="1" customFormat="1" ht="14.5" customHeight="1" x14ac:dyDescent="0.4">
      <c r="A3" s="104" t="s">
        <v>2</v>
      </c>
      <c r="B3" s="104"/>
      <c r="C3" s="104"/>
      <c r="D3" s="104"/>
      <c r="E3" s="104"/>
      <c r="F3" s="104"/>
    </row>
    <row r="4" spans="1:7" s="1" customFormat="1" ht="14.5" customHeight="1" x14ac:dyDescent="0.4">
      <c r="A4" s="105" t="s">
        <v>122</v>
      </c>
      <c r="B4" s="105"/>
      <c r="C4" s="105"/>
      <c r="D4" s="105"/>
      <c r="E4" s="105"/>
      <c r="F4" s="105"/>
    </row>
    <row r="5" spans="1:7" x14ac:dyDescent="0.4">
      <c r="A5" s="114" t="s">
        <v>157</v>
      </c>
      <c r="B5" s="114"/>
      <c r="C5" s="114"/>
      <c r="D5" s="114"/>
      <c r="E5" s="114"/>
      <c r="F5" s="114"/>
    </row>
    <row r="6" spans="1:7" x14ac:dyDescent="0.4">
      <c r="A6" s="32"/>
      <c r="B6" s="32"/>
      <c r="C6" s="32"/>
      <c r="D6" s="32"/>
      <c r="E6" s="32"/>
      <c r="F6" s="32"/>
    </row>
    <row r="7" spans="1:7" x14ac:dyDescent="0.4">
      <c r="A7" s="113" t="s">
        <v>142</v>
      </c>
      <c r="B7" s="113"/>
      <c r="C7" s="113"/>
      <c r="D7" s="113"/>
      <c r="E7" s="113"/>
      <c r="F7" s="113"/>
    </row>
    <row r="8" spans="1:7" ht="28.3" x14ac:dyDescent="0.4">
      <c r="A8" s="33" t="s">
        <v>3</v>
      </c>
      <c r="B8" s="33" t="s">
        <v>4</v>
      </c>
      <c r="C8" s="33" t="s">
        <v>5</v>
      </c>
      <c r="D8" s="33" t="s">
        <v>6</v>
      </c>
      <c r="E8" s="33" t="s">
        <v>7</v>
      </c>
      <c r="F8" s="33" t="s">
        <v>8</v>
      </c>
    </row>
    <row r="9" spans="1:7" x14ac:dyDescent="0.4">
      <c r="A9" s="20" t="s">
        <v>10</v>
      </c>
      <c r="B9" s="20" t="s">
        <v>11</v>
      </c>
      <c r="C9" s="21">
        <v>2</v>
      </c>
      <c r="D9" s="21">
        <v>1</v>
      </c>
      <c r="E9" s="21">
        <v>3</v>
      </c>
      <c r="F9" s="20" t="s">
        <v>118</v>
      </c>
    </row>
    <row r="10" spans="1:7" x14ac:dyDescent="0.4">
      <c r="A10" s="20" t="s">
        <v>12</v>
      </c>
      <c r="B10" s="20" t="s">
        <v>13</v>
      </c>
      <c r="C10" s="21">
        <v>2</v>
      </c>
      <c r="D10" s="21">
        <v>1</v>
      </c>
      <c r="E10" s="21">
        <v>3</v>
      </c>
      <c r="F10" s="20" t="s">
        <v>118</v>
      </c>
    </row>
    <row r="11" spans="1:7" x14ac:dyDescent="0.4">
      <c r="A11" s="20" t="s">
        <v>40</v>
      </c>
      <c r="B11" s="20" t="s">
        <v>41</v>
      </c>
      <c r="C11" s="21">
        <v>2</v>
      </c>
      <c r="D11" s="21">
        <v>1</v>
      </c>
      <c r="E11" s="21">
        <v>3</v>
      </c>
      <c r="F11" s="20" t="s">
        <v>118</v>
      </c>
    </row>
    <row r="12" spans="1:7" x14ac:dyDescent="0.4">
      <c r="A12" s="20" t="s">
        <v>26</v>
      </c>
      <c r="B12" s="20" t="s">
        <v>27</v>
      </c>
      <c r="C12" s="21">
        <v>2</v>
      </c>
      <c r="D12" s="21">
        <v>1</v>
      </c>
      <c r="E12" s="21">
        <v>3</v>
      </c>
      <c r="F12" s="20" t="s">
        <v>12</v>
      </c>
    </row>
    <row r="13" spans="1:7" x14ac:dyDescent="0.4">
      <c r="A13" s="20" t="s">
        <v>38</v>
      </c>
      <c r="B13" s="20" t="s">
        <v>39</v>
      </c>
      <c r="C13" s="21">
        <v>2</v>
      </c>
      <c r="D13" s="21">
        <v>1</v>
      </c>
      <c r="E13" s="21">
        <v>3</v>
      </c>
      <c r="F13" s="20" t="s">
        <v>26</v>
      </c>
    </row>
    <row r="14" spans="1:7" x14ac:dyDescent="0.4">
      <c r="A14" s="20" t="s">
        <v>47</v>
      </c>
      <c r="B14" s="20" t="s">
        <v>48</v>
      </c>
      <c r="C14" s="21">
        <v>2</v>
      </c>
      <c r="D14" s="21">
        <v>1</v>
      </c>
      <c r="E14" s="21">
        <v>3</v>
      </c>
      <c r="F14" s="20" t="s">
        <v>26</v>
      </c>
    </row>
    <row r="15" spans="1:7" x14ac:dyDescent="0.4">
      <c r="A15" s="20"/>
      <c r="B15" s="20"/>
      <c r="C15" s="21"/>
      <c r="D15" s="21"/>
      <c r="E15" s="21">
        <f>SUM(E9:E14)</f>
        <v>18</v>
      </c>
      <c r="F15" s="20"/>
    </row>
    <row r="16" spans="1:7" x14ac:dyDescent="0.4">
      <c r="A16" s="118" t="s">
        <v>143</v>
      </c>
      <c r="B16" s="119"/>
      <c r="C16" s="119"/>
      <c r="D16" s="119"/>
      <c r="E16" s="119"/>
      <c r="F16" s="120"/>
    </row>
    <row r="17" spans="1:6" x14ac:dyDescent="0.4">
      <c r="A17" s="15" t="s">
        <v>29</v>
      </c>
      <c r="B17" s="15" t="s">
        <v>30</v>
      </c>
      <c r="C17" s="16">
        <v>3</v>
      </c>
      <c r="D17" s="16">
        <v>0</v>
      </c>
      <c r="E17" s="16">
        <f t="shared" ref="E17" si="0">SUM(C17:D17)</f>
        <v>3</v>
      </c>
      <c r="F17" s="15" t="s">
        <v>20</v>
      </c>
    </row>
    <row r="18" spans="1:6" x14ac:dyDescent="0.4">
      <c r="A18" s="15" t="s">
        <v>158</v>
      </c>
      <c r="B18" s="15" t="s">
        <v>159</v>
      </c>
      <c r="C18" s="16">
        <v>3</v>
      </c>
      <c r="D18" s="16">
        <v>0</v>
      </c>
      <c r="E18" s="16">
        <f>SUM(C18:D18)</f>
        <v>3</v>
      </c>
      <c r="F18" s="15" t="s">
        <v>29</v>
      </c>
    </row>
    <row r="19" spans="1:6" x14ac:dyDescent="0.4">
      <c r="A19" s="20" t="s">
        <v>63</v>
      </c>
      <c r="B19" s="20" t="s">
        <v>203</v>
      </c>
      <c r="C19" s="21">
        <v>2</v>
      </c>
      <c r="D19" s="21">
        <v>1</v>
      </c>
      <c r="E19" s="21">
        <v>3</v>
      </c>
      <c r="F19" s="20" t="s">
        <v>10</v>
      </c>
    </row>
    <row r="20" spans="1:6" x14ac:dyDescent="0.4">
      <c r="A20" s="15" t="s">
        <v>49</v>
      </c>
      <c r="B20" s="15" t="s">
        <v>50</v>
      </c>
      <c r="C20" s="16">
        <v>2</v>
      </c>
      <c r="D20" s="16">
        <v>1</v>
      </c>
      <c r="E20" s="16">
        <f>SUM(C20:D20)</f>
        <v>3</v>
      </c>
      <c r="F20" s="15" t="s">
        <v>26</v>
      </c>
    </row>
    <row r="21" spans="1:6" x14ac:dyDescent="0.4">
      <c r="A21" s="15" t="s">
        <v>42</v>
      </c>
      <c r="B21" s="15" t="s">
        <v>43</v>
      </c>
      <c r="C21" s="16">
        <v>2</v>
      </c>
      <c r="D21" s="16">
        <v>1</v>
      </c>
      <c r="E21" s="16">
        <f t="shared" ref="E21" si="1">SUM(C21:D21)</f>
        <v>3</v>
      </c>
      <c r="F21" s="15" t="s">
        <v>26</v>
      </c>
    </row>
    <row r="22" spans="1:6" x14ac:dyDescent="0.4">
      <c r="A22" s="15" t="s">
        <v>31</v>
      </c>
      <c r="B22" s="15" t="s">
        <v>32</v>
      </c>
      <c r="C22" s="16">
        <v>2</v>
      </c>
      <c r="D22" s="16">
        <v>1</v>
      </c>
      <c r="E22" s="16">
        <f>SUM(C22:D22)</f>
        <v>3</v>
      </c>
      <c r="F22" s="15" t="s">
        <v>10</v>
      </c>
    </row>
    <row r="23" spans="1:6" x14ac:dyDescent="0.4">
      <c r="A23" s="15" t="s">
        <v>51</v>
      </c>
      <c r="B23" s="15" t="s">
        <v>52</v>
      </c>
      <c r="C23" s="16">
        <v>2</v>
      </c>
      <c r="D23" s="16">
        <v>1</v>
      </c>
      <c r="E23" s="16">
        <f t="shared" ref="E23:E24" si="2">SUM(C23:D23)</f>
        <v>3</v>
      </c>
      <c r="F23" s="15" t="s">
        <v>42</v>
      </c>
    </row>
    <row r="24" spans="1:6" x14ac:dyDescent="0.4">
      <c r="A24" s="15" t="s">
        <v>61</v>
      </c>
      <c r="B24" s="15" t="s">
        <v>62</v>
      </c>
      <c r="C24" s="16">
        <v>3</v>
      </c>
      <c r="D24" s="16">
        <v>0</v>
      </c>
      <c r="E24" s="16">
        <f t="shared" si="2"/>
        <v>3</v>
      </c>
      <c r="F24" s="15" t="s">
        <v>38</v>
      </c>
    </row>
    <row r="25" spans="1:6" x14ac:dyDescent="0.4">
      <c r="A25" s="15" t="s">
        <v>145</v>
      </c>
      <c r="B25" s="15" t="s">
        <v>69</v>
      </c>
      <c r="C25" s="16">
        <v>3</v>
      </c>
      <c r="D25" s="16">
        <v>0</v>
      </c>
      <c r="E25" s="16">
        <f>SUM(C25:D25)</f>
        <v>3</v>
      </c>
      <c r="F25" s="15" t="s">
        <v>61</v>
      </c>
    </row>
    <row r="26" spans="1:6" x14ac:dyDescent="0.4">
      <c r="A26" s="20" t="s">
        <v>137</v>
      </c>
      <c r="B26" s="20" t="s">
        <v>136</v>
      </c>
      <c r="C26" s="21">
        <v>2</v>
      </c>
      <c r="D26" s="21">
        <v>1</v>
      </c>
      <c r="E26" s="16">
        <f>SUM(C26:D26)</f>
        <v>3</v>
      </c>
      <c r="F26" s="15" t="s">
        <v>10</v>
      </c>
    </row>
    <row r="27" spans="1:6" x14ac:dyDescent="0.4">
      <c r="A27" s="15" t="s">
        <v>70</v>
      </c>
      <c r="B27" s="15" t="s">
        <v>71</v>
      </c>
      <c r="C27" s="16">
        <v>3</v>
      </c>
      <c r="D27" s="16">
        <v>0</v>
      </c>
      <c r="E27" s="16">
        <f>SUM(C27:D27)</f>
        <v>3</v>
      </c>
      <c r="F27" s="15" t="s">
        <v>148</v>
      </c>
    </row>
    <row r="28" spans="1:6" x14ac:dyDescent="0.4">
      <c r="A28" s="15" t="s">
        <v>78</v>
      </c>
      <c r="B28" s="15" t="s">
        <v>79</v>
      </c>
      <c r="C28" s="16">
        <v>3</v>
      </c>
      <c r="D28" s="16">
        <v>0</v>
      </c>
      <c r="E28" s="16">
        <f t="shared" ref="E28:E32" si="3">SUM(C28:D28)</f>
        <v>3</v>
      </c>
      <c r="F28" s="15" t="s">
        <v>40</v>
      </c>
    </row>
    <row r="29" spans="1:6" x14ac:dyDescent="0.4">
      <c r="A29" s="20" t="s">
        <v>76</v>
      </c>
      <c r="B29" s="20" t="s">
        <v>77</v>
      </c>
      <c r="C29" s="21">
        <v>2</v>
      </c>
      <c r="D29" s="21">
        <v>1</v>
      </c>
      <c r="E29" s="16">
        <f t="shared" si="3"/>
        <v>3</v>
      </c>
      <c r="F29" s="15" t="s">
        <v>10</v>
      </c>
    </row>
    <row r="30" spans="1:6" x14ac:dyDescent="0.4">
      <c r="A30" s="15" t="s">
        <v>64</v>
      </c>
      <c r="B30" s="15" t="s">
        <v>65</v>
      </c>
      <c r="C30" s="16">
        <v>3</v>
      </c>
      <c r="D30" s="16">
        <v>0</v>
      </c>
      <c r="E30" s="16">
        <f t="shared" si="3"/>
        <v>3</v>
      </c>
      <c r="F30" s="15" t="s">
        <v>38</v>
      </c>
    </row>
    <row r="31" spans="1:6" x14ac:dyDescent="0.4">
      <c r="A31" s="15" t="s">
        <v>86</v>
      </c>
      <c r="B31" s="15" t="s">
        <v>87</v>
      </c>
      <c r="C31" s="16">
        <v>3</v>
      </c>
      <c r="D31" s="16">
        <v>0</v>
      </c>
      <c r="E31" s="21">
        <f t="shared" si="3"/>
        <v>3</v>
      </c>
      <c r="F31" s="15" t="s">
        <v>10</v>
      </c>
    </row>
    <row r="32" spans="1:6" x14ac:dyDescent="0.4">
      <c r="A32" s="20" t="s">
        <v>83</v>
      </c>
      <c r="B32" s="20" t="s">
        <v>84</v>
      </c>
      <c r="C32" s="21">
        <v>3</v>
      </c>
      <c r="D32" s="21">
        <v>0</v>
      </c>
      <c r="E32" s="21">
        <f t="shared" si="3"/>
        <v>3</v>
      </c>
      <c r="F32" s="20" t="s">
        <v>70</v>
      </c>
    </row>
    <row r="33" spans="1:8" x14ac:dyDescent="0.4">
      <c r="A33" s="20" t="s">
        <v>139</v>
      </c>
      <c r="B33" s="20" t="s">
        <v>100</v>
      </c>
      <c r="C33" s="21">
        <v>6</v>
      </c>
      <c r="D33" s="21">
        <v>0</v>
      </c>
      <c r="E33" s="21">
        <v>6</v>
      </c>
      <c r="F33" s="20" t="s">
        <v>106</v>
      </c>
    </row>
    <row r="34" spans="1:8" x14ac:dyDescent="0.4">
      <c r="A34" s="20"/>
      <c r="B34" s="20"/>
      <c r="C34" s="21"/>
      <c r="D34" s="21"/>
      <c r="E34" s="21">
        <f>SUM(E17:E33)</f>
        <v>54</v>
      </c>
      <c r="F34" s="20"/>
    </row>
    <row r="35" spans="1:8" x14ac:dyDescent="0.4">
      <c r="A35" s="118" t="s">
        <v>144</v>
      </c>
      <c r="B35" s="119"/>
      <c r="C35" s="119"/>
      <c r="D35" s="119"/>
      <c r="E35" s="119"/>
      <c r="F35" s="120"/>
    </row>
    <row r="36" spans="1:8" s="10" customFormat="1" ht="14.5" customHeight="1" x14ac:dyDescent="0.4">
      <c r="A36" s="20" t="s">
        <v>185</v>
      </c>
      <c r="B36" s="20" t="s">
        <v>94</v>
      </c>
      <c r="C36" s="21">
        <v>2</v>
      </c>
      <c r="D36" s="21">
        <v>1</v>
      </c>
      <c r="E36" s="21">
        <v>3</v>
      </c>
      <c r="F36" s="20" t="s">
        <v>118</v>
      </c>
      <c r="G36" s="1"/>
    </row>
    <row r="37" spans="1:8" x14ac:dyDescent="0.4">
      <c r="A37" s="20" t="s">
        <v>147</v>
      </c>
      <c r="B37" s="20" t="s">
        <v>205</v>
      </c>
      <c r="C37" s="21">
        <v>2</v>
      </c>
      <c r="D37" s="21">
        <v>1</v>
      </c>
      <c r="E37" s="21">
        <v>3</v>
      </c>
      <c r="F37" s="20" t="s">
        <v>63</v>
      </c>
    </row>
    <row r="38" spans="1:8" x14ac:dyDescent="0.4">
      <c r="A38" s="20" t="s">
        <v>150</v>
      </c>
      <c r="B38" s="20" t="s">
        <v>188</v>
      </c>
      <c r="C38" s="21">
        <v>2</v>
      </c>
      <c r="D38" s="21">
        <v>1</v>
      </c>
      <c r="E38" s="21">
        <v>3</v>
      </c>
      <c r="F38" s="20" t="s">
        <v>147</v>
      </c>
      <c r="H38" s="31" t="s">
        <v>120</v>
      </c>
    </row>
    <row r="39" spans="1:8" x14ac:dyDescent="0.4">
      <c r="A39" s="20" t="s">
        <v>153</v>
      </c>
      <c r="B39" s="20" t="s">
        <v>82</v>
      </c>
      <c r="C39" s="21">
        <v>3</v>
      </c>
      <c r="D39" s="21">
        <v>0</v>
      </c>
      <c r="E39" s="21">
        <v>3</v>
      </c>
      <c r="F39" s="20" t="s">
        <v>118</v>
      </c>
    </row>
    <row r="40" spans="1:8" x14ac:dyDescent="0.4">
      <c r="A40" s="20" t="s">
        <v>152</v>
      </c>
      <c r="B40" s="20" t="s">
        <v>81</v>
      </c>
      <c r="C40" s="21">
        <v>2</v>
      </c>
      <c r="D40" s="21">
        <v>1</v>
      </c>
      <c r="E40" s="21">
        <v>3</v>
      </c>
      <c r="F40" s="20" t="s">
        <v>29</v>
      </c>
    </row>
    <row r="41" spans="1:8" x14ac:dyDescent="0.4">
      <c r="A41" s="20" t="s">
        <v>148</v>
      </c>
      <c r="B41" s="20" t="s">
        <v>189</v>
      </c>
      <c r="C41" s="21">
        <v>3</v>
      </c>
      <c r="D41" s="21">
        <v>0</v>
      </c>
      <c r="E41" s="21">
        <v>3</v>
      </c>
      <c r="F41" s="20" t="s">
        <v>51</v>
      </c>
    </row>
    <row r="42" spans="1:8" x14ac:dyDescent="0.4">
      <c r="A42" s="20" t="s">
        <v>149</v>
      </c>
      <c r="B42" s="20" t="s">
        <v>53</v>
      </c>
      <c r="C42" s="21">
        <v>2</v>
      </c>
      <c r="D42" s="21">
        <v>1</v>
      </c>
      <c r="E42" s="21">
        <v>3</v>
      </c>
      <c r="F42" s="20" t="s">
        <v>118</v>
      </c>
    </row>
    <row r="43" spans="1:8" x14ac:dyDescent="0.4">
      <c r="A43" s="15" t="s">
        <v>178</v>
      </c>
      <c r="B43" s="15" t="s">
        <v>179</v>
      </c>
      <c r="C43" s="16">
        <v>2</v>
      </c>
      <c r="D43" s="16">
        <v>1</v>
      </c>
      <c r="E43" s="16">
        <f t="shared" ref="E43" si="4">SUM(C43:D43)</f>
        <v>3</v>
      </c>
      <c r="F43" s="15" t="s">
        <v>118</v>
      </c>
    </row>
    <row r="44" spans="1:8" x14ac:dyDescent="0.4">
      <c r="A44" s="20" t="s">
        <v>151</v>
      </c>
      <c r="B44" s="20" t="s">
        <v>66</v>
      </c>
      <c r="C44" s="21">
        <v>2</v>
      </c>
      <c r="D44" s="21">
        <v>1</v>
      </c>
      <c r="E44" s="21">
        <v>3</v>
      </c>
      <c r="F44" s="20" t="s">
        <v>149</v>
      </c>
    </row>
    <row r="45" spans="1:8" x14ac:dyDescent="0.4">
      <c r="A45" s="15" t="s">
        <v>176</v>
      </c>
      <c r="B45" s="15" t="s">
        <v>177</v>
      </c>
      <c r="C45" s="16">
        <v>2</v>
      </c>
      <c r="D45" s="16">
        <v>1</v>
      </c>
      <c r="E45" s="16">
        <f>SUM(C45:D45)</f>
        <v>3</v>
      </c>
      <c r="F45" s="15" t="s">
        <v>178</v>
      </c>
    </row>
    <row r="46" spans="1:8" x14ac:dyDescent="0.4">
      <c r="A46" s="34"/>
      <c r="B46" s="35"/>
      <c r="C46" s="36"/>
      <c r="D46" s="36"/>
      <c r="E46" s="36">
        <f>SUM(E36:E45)</f>
        <v>30</v>
      </c>
      <c r="F46" s="37"/>
    </row>
    <row r="47" spans="1:8" x14ac:dyDescent="0.4">
      <c r="A47" s="115" t="s">
        <v>207</v>
      </c>
      <c r="B47" s="116"/>
      <c r="C47" s="116"/>
      <c r="D47" s="116"/>
      <c r="E47" s="116"/>
      <c r="F47" s="117"/>
    </row>
    <row r="48" spans="1:8" x14ac:dyDescent="0.4">
      <c r="A48" s="20" t="s">
        <v>186</v>
      </c>
      <c r="B48" s="20" t="s">
        <v>187</v>
      </c>
      <c r="C48" s="21">
        <v>2</v>
      </c>
      <c r="D48" s="21">
        <v>1</v>
      </c>
      <c r="E48" s="21">
        <v>3</v>
      </c>
      <c r="F48" s="20" t="s">
        <v>118</v>
      </c>
    </row>
    <row r="49" spans="1:10" x14ac:dyDescent="0.4">
      <c r="A49" s="20" t="s">
        <v>97</v>
      </c>
      <c r="B49" s="20" t="s">
        <v>98</v>
      </c>
      <c r="C49" s="21">
        <v>2</v>
      </c>
      <c r="D49" s="21">
        <v>1</v>
      </c>
      <c r="E49" s="21">
        <v>3</v>
      </c>
      <c r="F49" s="20" t="s">
        <v>118</v>
      </c>
    </row>
    <row r="50" spans="1:10" x14ac:dyDescent="0.4">
      <c r="A50" s="20" t="s">
        <v>92</v>
      </c>
      <c r="B50" s="20" t="s">
        <v>93</v>
      </c>
      <c r="C50" s="21">
        <v>2</v>
      </c>
      <c r="D50" s="21">
        <v>1</v>
      </c>
      <c r="E50" s="21">
        <v>3</v>
      </c>
      <c r="F50" s="20" t="s">
        <v>118</v>
      </c>
    </row>
    <row r="51" spans="1:10" x14ac:dyDescent="0.4">
      <c r="A51" s="20" t="s">
        <v>95</v>
      </c>
      <c r="B51" s="20" t="s">
        <v>96</v>
      </c>
      <c r="C51" s="21">
        <v>2</v>
      </c>
      <c r="D51" s="21">
        <v>1</v>
      </c>
      <c r="E51" s="21">
        <v>3</v>
      </c>
      <c r="F51" s="20" t="s">
        <v>118</v>
      </c>
    </row>
    <row r="52" spans="1:10" x14ac:dyDescent="0.4">
      <c r="A52" s="34"/>
      <c r="B52" s="35"/>
      <c r="C52" s="36"/>
      <c r="D52" s="36"/>
      <c r="E52" s="36">
        <v>9</v>
      </c>
      <c r="F52" s="37"/>
    </row>
    <row r="53" spans="1:10" x14ac:dyDescent="0.4">
      <c r="A53" s="115" t="s">
        <v>140</v>
      </c>
      <c r="B53" s="116"/>
      <c r="C53" s="116"/>
      <c r="D53" s="116"/>
      <c r="E53" s="116"/>
      <c r="F53" s="117"/>
    </row>
    <row r="54" spans="1:10" x14ac:dyDescent="0.4">
      <c r="A54" s="15" t="s">
        <v>14</v>
      </c>
      <c r="B54" s="15" t="s">
        <v>15</v>
      </c>
      <c r="C54" s="16">
        <v>3</v>
      </c>
      <c r="D54" s="16">
        <v>0</v>
      </c>
      <c r="E54" s="16">
        <f t="shared" ref="E54:E61" si="5">SUM(C54:D54)</f>
        <v>3</v>
      </c>
      <c r="F54" s="15" t="s">
        <v>118</v>
      </c>
    </row>
    <row r="55" spans="1:10" x14ac:dyDescent="0.4">
      <c r="A55" s="15" t="s">
        <v>18</v>
      </c>
      <c r="B55" s="15" t="s">
        <v>19</v>
      </c>
      <c r="C55" s="16">
        <v>3</v>
      </c>
      <c r="D55" s="16">
        <v>0</v>
      </c>
      <c r="E55" s="16">
        <f t="shared" si="5"/>
        <v>3</v>
      </c>
      <c r="F55" s="15" t="s">
        <v>118</v>
      </c>
    </row>
    <row r="56" spans="1:10" x14ac:dyDescent="0.4">
      <c r="A56" s="15" t="s">
        <v>20</v>
      </c>
      <c r="B56" s="15" t="s">
        <v>21</v>
      </c>
      <c r="C56" s="16">
        <v>3</v>
      </c>
      <c r="D56" s="16">
        <v>0</v>
      </c>
      <c r="E56" s="16">
        <f t="shared" si="5"/>
        <v>3</v>
      </c>
      <c r="F56" s="15" t="s">
        <v>118</v>
      </c>
    </row>
    <row r="57" spans="1:10" x14ac:dyDescent="0.4">
      <c r="A57" s="15" t="s">
        <v>16</v>
      </c>
      <c r="B57" s="15" t="s">
        <v>17</v>
      </c>
      <c r="C57" s="16">
        <v>3</v>
      </c>
      <c r="D57" s="16">
        <v>0</v>
      </c>
      <c r="E57" s="16">
        <f t="shared" si="5"/>
        <v>3</v>
      </c>
      <c r="F57" s="15" t="s">
        <v>118</v>
      </c>
    </row>
    <row r="58" spans="1:10" x14ac:dyDescent="0.4">
      <c r="A58" s="15" t="s">
        <v>57</v>
      </c>
      <c r="B58" s="15" t="s">
        <v>58</v>
      </c>
      <c r="C58" s="16">
        <v>3</v>
      </c>
      <c r="D58" s="16">
        <v>0</v>
      </c>
      <c r="E58" s="16">
        <f t="shared" si="5"/>
        <v>3</v>
      </c>
      <c r="F58" s="15" t="s">
        <v>118</v>
      </c>
    </row>
    <row r="59" spans="1:10" x14ac:dyDescent="0.4">
      <c r="A59" s="15" t="s">
        <v>34</v>
      </c>
      <c r="B59" s="15" t="s">
        <v>35</v>
      </c>
      <c r="C59" s="16">
        <v>3</v>
      </c>
      <c r="D59" s="16">
        <v>0</v>
      </c>
      <c r="E59" s="16">
        <f t="shared" si="5"/>
        <v>3</v>
      </c>
      <c r="F59" s="15" t="s">
        <v>118</v>
      </c>
    </row>
    <row r="60" spans="1:10" x14ac:dyDescent="0.4">
      <c r="A60" s="15" t="s">
        <v>44</v>
      </c>
      <c r="B60" s="15" t="s">
        <v>45</v>
      </c>
      <c r="C60" s="16">
        <v>3</v>
      </c>
      <c r="D60" s="16">
        <v>0</v>
      </c>
      <c r="E60" s="16">
        <f t="shared" si="5"/>
        <v>3</v>
      </c>
      <c r="F60" s="15" t="s">
        <v>118</v>
      </c>
    </row>
    <row r="61" spans="1:10" x14ac:dyDescent="0.4">
      <c r="A61" s="15" t="s">
        <v>88</v>
      </c>
      <c r="B61" s="15" t="s">
        <v>89</v>
      </c>
      <c r="C61" s="16">
        <v>3</v>
      </c>
      <c r="D61" s="16">
        <v>0</v>
      </c>
      <c r="E61" s="21">
        <f t="shared" si="5"/>
        <v>3</v>
      </c>
      <c r="F61" s="15" t="s">
        <v>118</v>
      </c>
      <c r="J61" s="31" t="s">
        <v>120</v>
      </c>
    </row>
    <row r="62" spans="1:10" x14ac:dyDescent="0.4">
      <c r="A62" s="15" t="s">
        <v>73</v>
      </c>
      <c r="B62" s="15" t="s">
        <v>74</v>
      </c>
      <c r="C62" s="16">
        <v>3</v>
      </c>
      <c r="D62" s="16">
        <v>0</v>
      </c>
      <c r="E62" s="16">
        <f>SUM(C62:D62)</f>
        <v>3</v>
      </c>
      <c r="F62" s="15" t="s">
        <v>118</v>
      </c>
    </row>
    <row r="63" spans="1:10" x14ac:dyDescent="0.4">
      <c r="A63" s="38"/>
      <c r="B63" s="39"/>
      <c r="C63" s="40"/>
      <c r="D63" s="40"/>
      <c r="E63" s="40">
        <f>SUM(E54:E62)</f>
        <v>27</v>
      </c>
      <c r="F63" s="41"/>
    </row>
    <row r="64" spans="1:10" x14ac:dyDescent="0.4">
      <c r="A64" s="115" t="s">
        <v>208</v>
      </c>
      <c r="B64" s="116"/>
      <c r="C64" s="116"/>
      <c r="D64" s="116"/>
      <c r="E64" s="116"/>
      <c r="F64" s="117"/>
    </row>
    <row r="65" spans="1:6" x14ac:dyDescent="0.4">
      <c r="A65" s="15" t="s">
        <v>182</v>
      </c>
      <c r="B65" s="15" t="s">
        <v>183</v>
      </c>
      <c r="C65" s="16">
        <v>3</v>
      </c>
      <c r="D65" s="16">
        <v>0</v>
      </c>
      <c r="E65" s="16">
        <f>SUM(C65:D65)</f>
        <v>3</v>
      </c>
      <c r="F65" s="15" t="s">
        <v>118</v>
      </c>
    </row>
    <row r="66" spans="1:6" x14ac:dyDescent="0.4">
      <c r="A66" s="15" t="s">
        <v>209</v>
      </c>
      <c r="B66" s="15" t="s">
        <v>184</v>
      </c>
      <c r="C66" s="16">
        <v>3</v>
      </c>
      <c r="D66" s="16">
        <v>0</v>
      </c>
      <c r="E66" s="21">
        <f>SUM(C66:D66)</f>
        <v>3</v>
      </c>
      <c r="F66" s="15" t="s">
        <v>118</v>
      </c>
    </row>
    <row r="67" spans="1:6" x14ac:dyDescent="0.4">
      <c r="A67" s="34"/>
      <c r="B67" s="35"/>
      <c r="C67" s="36"/>
      <c r="D67" s="36"/>
      <c r="E67" s="36">
        <f>SUM(E65:E66)</f>
        <v>6</v>
      </c>
      <c r="F67" s="37"/>
    </row>
    <row r="68" spans="1:6" x14ac:dyDescent="0.4">
      <c r="A68" s="115" t="s">
        <v>141</v>
      </c>
      <c r="B68" s="116"/>
      <c r="C68" s="116"/>
      <c r="D68" s="116"/>
      <c r="E68" s="116"/>
      <c r="F68" s="117"/>
    </row>
    <row r="69" spans="1:6" x14ac:dyDescent="0.4">
      <c r="A69" s="20" t="s">
        <v>105</v>
      </c>
      <c r="B69" s="15" t="s">
        <v>190</v>
      </c>
      <c r="C69" s="21">
        <v>2</v>
      </c>
      <c r="D69" s="21">
        <v>0</v>
      </c>
      <c r="E69" s="21">
        <v>2</v>
      </c>
      <c r="F69" s="20" t="s">
        <v>118</v>
      </c>
    </row>
    <row r="70" spans="1:6" x14ac:dyDescent="0.4">
      <c r="A70" s="20" t="s">
        <v>104</v>
      </c>
      <c r="B70" s="15" t="s">
        <v>191</v>
      </c>
      <c r="C70" s="21">
        <v>2</v>
      </c>
      <c r="D70" s="21">
        <v>0</v>
      </c>
      <c r="E70" s="21">
        <v>2</v>
      </c>
      <c r="F70" s="20" t="s">
        <v>105</v>
      </c>
    </row>
    <row r="71" spans="1:6" x14ac:dyDescent="0.4">
      <c r="A71" s="20" t="s">
        <v>59</v>
      </c>
      <c r="B71" s="15" t="s">
        <v>192</v>
      </c>
      <c r="C71" s="21">
        <v>2</v>
      </c>
      <c r="D71" s="21">
        <v>0</v>
      </c>
      <c r="E71" s="21">
        <v>2</v>
      </c>
      <c r="F71" s="20" t="s">
        <v>105</v>
      </c>
    </row>
    <row r="72" spans="1:6" x14ac:dyDescent="0.4">
      <c r="A72" s="20" t="s">
        <v>103</v>
      </c>
      <c r="B72" s="15" t="s">
        <v>193</v>
      </c>
      <c r="C72" s="21">
        <v>2</v>
      </c>
      <c r="D72" s="21">
        <v>0</v>
      </c>
      <c r="E72" s="21">
        <v>2</v>
      </c>
      <c r="F72" s="20" t="s">
        <v>105</v>
      </c>
    </row>
    <row r="73" spans="1:6" x14ac:dyDescent="0.4">
      <c r="A73" s="20"/>
      <c r="B73" s="20"/>
      <c r="C73" s="21"/>
      <c r="D73" s="21"/>
      <c r="E73" s="21">
        <f>SUM(E69:E72)</f>
        <v>8</v>
      </c>
      <c r="F73" s="20"/>
    </row>
    <row r="74" spans="1:6" x14ac:dyDescent="0.4">
      <c r="A74" s="115" t="s">
        <v>107</v>
      </c>
      <c r="B74" s="116"/>
      <c r="C74" s="116"/>
      <c r="D74" s="116"/>
      <c r="E74" s="116"/>
      <c r="F74" s="117"/>
    </row>
    <row r="75" spans="1:6" x14ac:dyDescent="0.4">
      <c r="A75" s="20" t="s">
        <v>146</v>
      </c>
      <c r="B75" s="20" t="s">
        <v>195</v>
      </c>
      <c r="C75" s="21">
        <v>3</v>
      </c>
      <c r="D75" s="21">
        <v>0</v>
      </c>
      <c r="E75" s="21">
        <v>3</v>
      </c>
      <c r="F75" s="20" t="s">
        <v>20</v>
      </c>
    </row>
    <row r="76" spans="1:6" x14ac:dyDescent="0.4">
      <c r="A76" s="20" t="s">
        <v>154</v>
      </c>
      <c r="B76" s="20" t="s">
        <v>175</v>
      </c>
      <c r="C76" s="21">
        <v>3</v>
      </c>
      <c r="D76" s="21">
        <v>0</v>
      </c>
      <c r="E76" s="21">
        <v>3</v>
      </c>
      <c r="F76" s="20" t="s">
        <v>146</v>
      </c>
    </row>
    <row r="77" spans="1:6" x14ac:dyDescent="0.4">
      <c r="A77" s="20" t="s">
        <v>155</v>
      </c>
      <c r="B77" s="20" t="s">
        <v>54</v>
      </c>
      <c r="C77" s="21">
        <v>3</v>
      </c>
      <c r="D77" s="21">
        <v>0</v>
      </c>
      <c r="E77" s="21">
        <v>3</v>
      </c>
      <c r="F77" s="20" t="s">
        <v>146</v>
      </c>
    </row>
    <row r="78" spans="1:6" x14ac:dyDescent="0.4">
      <c r="A78" s="34"/>
      <c r="B78" s="35"/>
      <c r="C78" s="36"/>
      <c r="D78" s="36"/>
      <c r="E78" s="36">
        <f>SUM(E75:E77)</f>
        <v>9</v>
      </c>
      <c r="F78" s="37"/>
    </row>
    <row r="79" spans="1:6" x14ac:dyDescent="0.4">
      <c r="A79" s="115" t="s">
        <v>210</v>
      </c>
      <c r="B79" s="116"/>
      <c r="C79" s="116"/>
      <c r="D79" s="116"/>
      <c r="E79" s="116"/>
      <c r="F79" s="117"/>
    </row>
    <row r="80" spans="1:6" x14ac:dyDescent="0.4">
      <c r="A80" s="20" t="s">
        <v>194</v>
      </c>
      <c r="B80" s="20" t="s">
        <v>28</v>
      </c>
      <c r="C80" s="21">
        <v>3</v>
      </c>
      <c r="D80" s="21">
        <v>0</v>
      </c>
      <c r="E80" s="21">
        <v>3</v>
      </c>
      <c r="F80" s="20" t="s">
        <v>18</v>
      </c>
    </row>
    <row r="81" spans="1:6" x14ac:dyDescent="0.4">
      <c r="A81" s="20" t="s">
        <v>197</v>
      </c>
      <c r="B81" s="20" t="s">
        <v>206</v>
      </c>
      <c r="C81" s="21">
        <v>3</v>
      </c>
      <c r="D81" s="21">
        <v>0</v>
      </c>
      <c r="E81" s="21">
        <v>3</v>
      </c>
      <c r="F81" s="20" t="s">
        <v>18</v>
      </c>
    </row>
    <row r="82" spans="1:6" x14ac:dyDescent="0.4">
      <c r="A82" s="20"/>
      <c r="B82" s="20"/>
      <c r="C82" s="21"/>
      <c r="D82" s="21"/>
      <c r="E82" s="21">
        <v>6</v>
      </c>
      <c r="F82" s="20"/>
    </row>
    <row r="83" spans="1:6" x14ac:dyDescent="0.4">
      <c r="A83" s="115" t="s">
        <v>99</v>
      </c>
      <c r="B83" s="116"/>
      <c r="C83" s="116"/>
      <c r="D83" s="116"/>
      <c r="E83" s="116"/>
      <c r="F83" s="117"/>
    </row>
    <row r="84" spans="1:6" x14ac:dyDescent="0.4">
      <c r="A84" s="20" t="s">
        <v>55</v>
      </c>
      <c r="B84" s="20" t="s">
        <v>56</v>
      </c>
      <c r="C84" s="21">
        <v>3</v>
      </c>
      <c r="D84" s="21">
        <v>0</v>
      </c>
      <c r="E84" s="21" t="s">
        <v>23</v>
      </c>
      <c r="F84" s="20" t="s">
        <v>118</v>
      </c>
    </row>
    <row r="86" spans="1:6" x14ac:dyDescent="0.4">
      <c r="A86" s="1"/>
      <c r="B86" s="15" t="s">
        <v>109</v>
      </c>
      <c r="C86" s="29"/>
      <c r="D86" s="3"/>
      <c r="E86" s="3"/>
      <c r="F86" s="1"/>
    </row>
    <row r="87" spans="1:6" x14ac:dyDescent="0.4">
      <c r="A87" s="1"/>
      <c r="B87" s="22" t="s">
        <v>121</v>
      </c>
      <c r="C87" s="16">
        <f>SUM(E54:E62)</f>
        <v>27</v>
      </c>
      <c r="D87" s="3">
        <f>SUM(C87:C91)</f>
        <v>56</v>
      </c>
      <c r="E87" s="3"/>
      <c r="F87" s="1"/>
    </row>
    <row r="88" spans="1:6" x14ac:dyDescent="0.4">
      <c r="A88" s="1"/>
      <c r="B88" s="22" t="s">
        <v>211</v>
      </c>
      <c r="C88" s="16">
        <v>6</v>
      </c>
      <c r="D88" s="3"/>
      <c r="E88" s="3"/>
      <c r="F88" s="1"/>
    </row>
    <row r="89" spans="1:6" x14ac:dyDescent="0.4">
      <c r="A89" s="1"/>
      <c r="B89" s="22" t="s">
        <v>212</v>
      </c>
      <c r="C89" s="16">
        <v>6</v>
      </c>
      <c r="D89" s="3"/>
      <c r="E89" s="3"/>
      <c r="F89" s="1" t="s">
        <v>120</v>
      </c>
    </row>
    <row r="90" spans="1:6" x14ac:dyDescent="0.4">
      <c r="A90" s="1"/>
      <c r="B90" s="22" t="s">
        <v>110</v>
      </c>
      <c r="C90" s="16">
        <f>SUM(E69:E72)</f>
        <v>8</v>
      </c>
      <c r="D90" s="3"/>
      <c r="E90" s="3"/>
      <c r="F90" s="1"/>
    </row>
    <row r="91" spans="1:6" x14ac:dyDescent="0.4">
      <c r="A91" s="1"/>
      <c r="B91" s="22" t="s">
        <v>114</v>
      </c>
      <c r="C91" s="16">
        <f>SUM(E75:E77)</f>
        <v>9</v>
      </c>
      <c r="D91" s="3"/>
      <c r="E91" s="3"/>
      <c r="F91" s="1"/>
    </row>
    <row r="92" spans="1:6" x14ac:dyDescent="0.4">
      <c r="A92" s="1"/>
      <c r="B92" s="15" t="s">
        <v>116</v>
      </c>
      <c r="C92" s="19" t="s">
        <v>117</v>
      </c>
      <c r="D92" s="3"/>
      <c r="E92" s="3"/>
      <c r="F92" s="1"/>
    </row>
    <row r="93" spans="1:6" x14ac:dyDescent="0.4">
      <c r="A93" s="1"/>
      <c r="B93" s="15" t="s">
        <v>108</v>
      </c>
      <c r="C93" s="16">
        <f>SUM(E9:E14)</f>
        <v>18</v>
      </c>
      <c r="D93" s="3"/>
      <c r="E93" s="3"/>
      <c r="F93" s="1"/>
    </row>
    <row r="94" spans="1:6" x14ac:dyDescent="0.4">
      <c r="A94" s="1"/>
      <c r="B94" s="15" t="s">
        <v>111</v>
      </c>
      <c r="C94" s="16">
        <f>SUM(E17:E33)</f>
        <v>54</v>
      </c>
      <c r="D94" s="3"/>
      <c r="E94" s="3"/>
      <c r="F94" s="1"/>
    </row>
    <row r="95" spans="1:6" x14ac:dyDescent="0.4">
      <c r="A95" s="1"/>
      <c r="B95" s="15" t="s">
        <v>113</v>
      </c>
      <c r="C95" s="16">
        <v>30</v>
      </c>
      <c r="D95" s="3"/>
      <c r="E95" s="3"/>
      <c r="F95" s="1"/>
    </row>
    <row r="96" spans="1:6" x14ac:dyDescent="0.4">
      <c r="A96" s="1"/>
      <c r="B96" s="15" t="s">
        <v>112</v>
      </c>
      <c r="C96" s="16">
        <v>9</v>
      </c>
      <c r="D96" s="3"/>
      <c r="E96" s="3"/>
      <c r="F96" s="1"/>
    </row>
    <row r="97" spans="1:6" x14ac:dyDescent="0.4">
      <c r="A97" s="1"/>
      <c r="B97" s="15" t="s">
        <v>115</v>
      </c>
      <c r="C97" s="19" t="s">
        <v>23</v>
      </c>
      <c r="D97" s="3"/>
      <c r="E97" s="3"/>
      <c r="F97" s="1"/>
    </row>
    <row r="98" spans="1:6" x14ac:dyDescent="0.4">
      <c r="A98" s="1"/>
      <c r="B98" s="23" t="s">
        <v>119</v>
      </c>
      <c r="C98" s="29">
        <f>SUM(C87:C97)</f>
        <v>167</v>
      </c>
      <c r="D98" s="3"/>
      <c r="E98" s="45">
        <f>SUM(E15,E34,E46,E52,E63,E67,E73,E78,E82)</f>
        <v>167</v>
      </c>
      <c r="F98" s="1"/>
    </row>
    <row r="99" spans="1:6" x14ac:dyDescent="0.4">
      <c r="A99" s="1"/>
      <c r="B99" s="1"/>
      <c r="C99" s="3"/>
      <c r="D99" s="3"/>
      <c r="E99" s="3"/>
      <c r="F99" s="1"/>
    </row>
    <row r="100" spans="1:6" x14ac:dyDescent="0.4">
      <c r="A100" s="1" t="s">
        <v>123</v>
      </c>
      <c r="B100" s="1"/>
      <c r="C100" s="24" t="s">
        <v>128</v>
      </c>
      <c r="D100" s="3"/>
      <c r="E100" s="3"/>
      <c r="F100" s="1"/>
    </row>
    <row r="101" spans="1:6" x14ac:dyDescent="0.4">
      <c r="A101" s="1"/>
      <c r="B101" s="1"/>
      <c r="C101" s="24"/>
      <c r="D101" s="3"/>
      <c r="E101" s="3"/>
      <c r="F101" s="1"/>
    </row>
    <row r="102" spans="1:6" x14ac:dyDescent="0.4">
      <c r="A102" s="1"/>
      <c r="B102" s="1"/>
      <c r="C102" s="3"/>
      <c r="D102" s="3"/>
      <c r="E102" s="3"/>
      <c r="F102" s="1"/>
    </row>
    <row r="103" spans="1:6" x14ac:dyDescent="0.4">
      <c r="A103" s="25" t="s">
        <v>127</v>
      </c>
      <c r="B103" s="1"/>
      <c r="C103" s="26" t="s">
        <v>129</v>
      </c>
      <c r="D103" s="3"/>
      <c r="E103" s="3"/>
      <c r="F103" s="1"/>
    </row>
    <row r="104" spans="1:6" x14ac:dyDescent="0.4">
      <c r="A104" s="1" t="s">
        <v>124</v>
      </c>
      <c r="B104" s="1"/>
      <c r="C104" s="1" t="s">
        <v>130</v>
      </c>
      <c r="D104" s="3"/>
      <c r="E104" s="3"/>
      <c r="F104" s="1"/>
    </row>
    <row r="105" spans="1:6" x14ac:dyDescent="0.4">
      <c r="A105" s="1"/>
      <c r="B105" s="1"/>
      <c r="C105" s="1"/>
      <c r="D105" s="3"/>
      <c r="E105" s="3"/>
      <c r="F105" s="1"/>
    </row>
    <row r="106" spans="1:6" x14ac:dyDescent="0.4">
      <c r="A106" s="1"/>
      <c r="B106" s="1"/>
      <c r="C106" s="3"/>
      <c r="D106" s="3"/>
      <c r="E106" s="3"/>
      <c r="F106" s="1"/>
    </row>
    <row r="107" spans="1:6" x14ac:dyDescent="0.4">
      <c r="A107" s="25" t="s">
        <v>125</v>
      </c>
      <c r="B107" s="1"/>
      <c r="C107" s="24"/>
      <c r="D107" s="3"/>
      <c r="E107" s="3"/>
      <c r="F107" s="1"/>
    </row>
    <row r="108" spans="1:6" x14ac:dyDescent="0.4">
      <c r="A108" s="1" t="s">
        <v>126</v>
      </c>
      <c r="B108" s="1"/>
      <c r="C108" s="3"/>
      <c r="D108" s="3"/>
      <c r="E108" s="3"/>
      <c r="F108" s="1"/>
    </row>
    <row r="109" spans="1:6" x14ac:dyDescent="0.4">
      <c r="A109" s="1"/>
      <c r="B109" s="1"/>
      <c r="C109" s="3"/>
      <c r="D109" s="3"/>
      <c r="E109" s="3"/>
      <c r="F109" s="1"/>
    </row>
    <row r="110" spans="1:6" x14ac:dyDescent="0.4">
      <c r="A110" s="24" t="s">
        <v>131</v>
      </c>
      <c r="B110" s="1"/>
      <c r="C110" s="3"/>
      <c r="D110" s="3"/>
      <c r="E110" s="3"/>
      <c r="F110" s="1"/>
    </row>
    <row r="111" spans="1:6" x14ac:dyDescent="0.4">
      <c r="A111" s="1"/>
      <c r="B111" s="1"/>
      <c r="C111" s="3"/>
      <c r="D111" s="3"/>
      <c r="E111" s="3"/>
      <c r="F111" s="1"/>
    </row>
    <row r="112" spans="1:6" x14ac:dyDescent="0.4">
      <c r="A112" s="25" t="s">
        <v>132</v>
      </c>
      <c r="B112" s="1"/>
      <c r="C112" s="3"/>
      <c r="D112" s="3"/>
      <c r="E112" s="3"/>
      <c r="F112" s="1"/>
    </row>
    <row r="113" spans="1:6" x14ac:dyDescent="0.4">
      <c r="A113" s="1" t="s">
        <v>133</v>
      </c>
      <c r="B113" s="1"/>
      <c r="C113" s="3"/>
      <c r="D113" s="3"/>
      <c r="E113" s="3"/>
      <c r="F113" s="1"/>
    </row>
  </sheetData>
  <mergeCells count="15">
    <mergeCell ref="A74:F74"/>
    <mergeCell ref="A79:F79"/>
    <mergeCell ref="A83:F83"/>
    <mergeCell ref="A16:F16"/>
    <mergeCell ref="A35:F35"/>
    <mergeCell ref="A47:F47"/>
    <mergeCell ref="A53:F53"/>
    <mergeCell ref="A64:F64"/>
    <mergeCell ref="A68:F68"/>
    <mergeCell ref="A7:F7"/>
    <mergeCell ref="A1:F1"/>
    <mergeCell ref="A2:F2"/>
    <mergeCell ref="A3:F3"/>
    <mergeCell ref="A4:F4"/>
    <mergeCell ref="A5:F5"/>
  </mergeCells>
  <pageMargins left="0.39370078740157483" right="0.19685039370078741" top="0.19685039370078741" bottom="0.19685039370078741" header="0.31496062992125984" footer="0.31496062992125984"/>
  <pageSetup paperSize="256" scale="9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workbookViewId="0">
      <selection activeCell="B19" sqref="B19"/>
    </sheetView>
  </sheetViews>
  <sheetFormatPr defaultRowHeight="14.6" x14ac:dyDescent="0.4"/>
  <cols>
    <col min="1" max="1" width="31.3046875" style="27" bestFit="1" customWidth="1"/>
    <col min="2" max="2" width="17.53515625" bestFit="1" customWidth="1"/>
    <col min="3" max="3" width="29.53515625" bestFit="1" customWidth="1"/>
  </cols>
  <sheetData>
    <row r="1" spans="1:5" x14ac:dyDescent="0.4">
      <c r="A1" s="28" t="s">
        <v>9</v>
      </c>
      <c r="B1" s="27" t="s">
        <v>160</v>
      </c>
      <c r="E1" t="s">
        <v>168</v>
      </c>
    </row>
    <row r="2" spans="1:5" x14ac:dyDescent="0.4">
      <c r="A2" s="27" t="s">
        <v>12</v>
      </c>
      <c r="B2" t="s">
        <v>161</v>
      </c>
      <c r="E2" t="s">
        <v>170</v>
      </c>
    </row>
    <row r="3" spans="1:5" x14ac:dyDescent="0.4">
      <c r="A3" s="27" t="s">
        <v>40</v>
      </c>
      <c r="B3" t="s">
        <v>162</v>
      </c>
      <c r="E3" t="s">
        <v>169</v>
      </c>
    </row>
    <row r="5" spans="1:5" x14ac:dyDescent="0.4">
      <c r="A5" s="28" t="s">
        <v>25</v>
      </c>
      <c r="E5" t="s">
        <v>171</v>
      </c>
    </row>
    <row r="6" spans="1:5" x14ac:dyDescent="0.4">
      <c r="A6" s="27" t="s">
        <v>26</v>
      </c>
      <c r="B6" t="s">
        <v>163</v>
      </c>
      <c r="E6" t="s">
        <v>172</v>
      </c>
    </row>
    <row r="7" spans="1:5" x14ac:dyDescent="0.4">
      <c r="A7" s="27" t="s">
        <v>38</v>
      </c>
      <c r="B7" t="s">
        <v>164</v>
      </c>
      <c r="E7" t="s">
        <v>173</v>
      </c>
    </row>
    <row r="8" spans="1:5" x14ac:dyDescent="0.4">
      <c r="E8" t="s">
        <v>174</v>
      </c>
    </row>
    <row r="9" spans="1:5" x14ac:dyDescent="0.4">
      <c r="A9" s="28" t="s">
        <v>37</v>
      </c>
      <c r="E9" t="s">
        <v>180</v>
      </c>
    </row>
    <row r="10" spans="1:5" x14ac:dyDescent="0.4">
      <c r="A10" s="27" t="s">
        <v>47</v>
      </c>
      <c r="B10" t="s">
        <v>165</v>
      </c>
    </row>
    <row r="11" spans="1:5" x14ac:dyDescent="0.4">
      <c r="A11" s="27" t="s">
        <v>49</v>
      </c>
      <c r="B11" t="s">
        <v>166</v>
      </c>
    </row>
    <row r="13" spans="1:5" x14ac:dyDescent="0.4">
      <c r="A13" s="28" t="s">
        <v>46</v>
      </c>
    </row>
    <row r="14" spans="1:5" x14ac:dyDescent="0.4">
      <c r="A14" s="27" t="s">
        <v>31</v>
      </c>
      <c r="B14" t="s">
        <v>167</v>
      </c>
    </row>
    <row r="16" spans="1:5" x14ac:dyDescent="0.4">
      <c r="A16" s="28" t="s">
        <v>60</v>
      </c>
    </row>
    <row r="17" spans="1:3" x14ac:dyDescent="0.4">
      <c r="A17" s="27" t="s">
        <v>61</v>
      </c>
      <c r="B17" t="s">
        <v>181</v>
      </c>
    </row>
    <row r="18" spans="1:3" x14ac:dyDescent="0.4">
      <c r="A18" s="27" t="s">
        <v>134</v>
      </c>
      <c r="B18" s="27" t="s">
        <v>185</v>
      </c>
      <c r="C18" s="27" t="s">
        <v>94</v>
      </c>
    </row>
    <row r="20" spans="1:3" x14ac:dyDescent="0.4">
      <c r="A20" s="28" t="s">
        <v>68</v>
      </c>
    </row>
    <row r="21" spans="1:3" x14ac:dyDescent="0.4">
      <c r="A21" s="27" t="s">
        <v>176</v>
      </c>
      <c r="B21" t="s">
        <v>196</v>
      </c>
    </row>
    <row r="22" spans="1:3" x14ac:dyDescent="0.4">
      <c r="A22" s="27" t="s">
        <v>135</v>
      </c>
      <c r="B22" s="27" t="s">
        <v>92</v>
      </c>
      <c r="C22" s="27" t="s">
        <v>93</v>
      </c>
    </row>
    <row r="24" spans="1:3" x14ac:dyDescent="0.4">
      <c r="A24" s="28" t="s">
        <v>80</v>
      </c>
    </row>
    <row r="25" spans="1:3" x14ac:dyDescent="0.4">
      <c r="A25" s="27" t="s">
        <v>138</v>
      </c>
      <c r="B25" s="27" t="s">
        <v>95</v>
      </c>
      <c r="C25" s="27" t="s">
        <v>96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6"/>
  <sheetViews>
    <sheetView view="pageBreakPreview" topLeftCell="A65" zoomScale="145" zoomScaleNormal="130" zoomScaleSheetLayoutView="145" workbookViewId="0">
      <selection activeCell="B78" sqref="B78"/>
    </sheetView>
  </sheetViews>
  <sheetFormatPr defaultColWidth="8.84375" defaultRowHeight="14.5" customHeight="1" x14ac:dyDescent="0.4"/>
  <cols>
    <col min="1" max="1" width="15.69140625" style="1" customWidth="1"/>
    <col min="2" max="2" width="53.3046875" style="1" customWidth="1"/>
    <col min="3" max="4" width="6.69140625" style="3" customWidth="1"/>
    <col min="5" max="5" width="10" style="3" customWidth="1"/>
    <col min="6" max="6" width="16.53515625" style="1" customWidth="1"/>
    <col min="7" max="16384" width="8.84375" style="1"/>
  </cols>
  <sheetData>
    <row r="1" spans="1:9" ht="19.95" customHeight="1" x14ac:dyDescent="0.4">
      <c r="A1" s="103" t="s">
        <v>0</v>
      </c>
      <c r="B1" s="103"/>
      <c r="C1" s="103"/>
      <c r="D1" s="103"/>
      <c r="E1" s="103"/>
      <c r="F1" s="103"/>
    </row>
    <row r="2" spans="1:9" ht="14.5" customHeight="1" x14ac:dyDescent="0.4">
      <c r="A2" s="104" t="s">
        <v>1</v>
      </c>
      <c r="B2" s="104"/>
      <c r="C2" s="104"/>
      <c r="D2" s="104"/>
      <c r="E2" s="104"/>
      <c r="F2" s="104"/>
      <c r="G2" s="25"/>
    </row>
    <row r="3" spans="1:9" ht="14.5" customHeight="1" x14ac:dyDescent="0.4">
      <c r="A3" s="104" t="s">
        <v>2</v>
      </c>
      <c r="B3" s="104"/>
      <c r="C3" s="104"/>
      <c r="D3" s="104"/>
      <c r="E3" s="104"/>
      <c r="F3" s="104"/>
    </row>
    <row r="4" spans="1:9" ht="14.5" customHeight="1" x14ac:dyDescent="0.4">
      <c r="A4" s="105" t="s">
        <v>213</v>
      </c>
      <c r="B4" s="104"/>
      <c r="C4" s="104"/>
      <c r="D4" s="104"/>
      <c r="E4" s="104"/>
      <c r="F4" s="104"/>
    </row>
    <row r="5" spans="1:9" ht="14.5" customHeight="1" x14ac:dyDescent="0.4">
      <c r="A5" s="44"/>
      <c r="B5" s="43"/>
      <c r="C5" s="43"/>
      <c r="D5" s="43"/>
      <c r="E5" s="43"/>
      <c r="F5" s="43"/>
    </row>
    <row r="6" spans="1:9" s="4" customFormat="1" ht="28.95" customHeight="1" x14ac:dyDescent="0.4">
      <c r="A6" s="14" t="s">
        <v>3</v>
      </c>
      <c r="B6" s="14" t="s">
        <v>4</v>
      </c>
      <c r="C6" s="14" t="s">
        <v>5</v>
      </c>
      <c r="D6" s="14" t="s">
        <v>6</v>
      </c>
      <c r="E6" s="14" t="s">
        <v>7</v>
      </c>
      <c r="F6" s="14" t="s">
        <v>8</v>
      </c>
      <c r="G6" s="1"/>
    </row>
    <row r="7" spans="1:9" s="4" customFormat="1" ht="14.5" customHeight="1" x14ac:dyDescent="0.4">
      <c r="A7" s="106" t="s">
        <v>9</v>
      </c>
      <c r="B7" s="106"/>
      <c r="C7" s="106"/>
      <c r="D7" s="106"/>
      <c r="E7" s="106"/>
      <c r="F7" s="106"/>
      <c r="G7" s="1"/>
    </row>
    <row r="8" spans="1:9" s="5" customFormat="1" ht="16" customHeight="1" x14ac:dyDescent="0.4">
      <c r="A8" s="20" t="s">
        <v>10</v>
      </c>
      <c r="B8" s="20" t="s">
        <v>11</v>
      </c>
      <c r="C8" s="21">
        <v>2</v>
      </c>
      <c r="D8" s="21">
        <v>1</v>
      </c>
      <c r="E8" s="21">
        <v>3</v>
      </c>
      <c r="F8" s="20" t="s">
        <v>118</v>
      </c>
      <c r="G8" s="1"/>
      <c r="H8" s="4"/>
      <c r="I8" s="4"/>
    </row>
    <row r="9" spans="1:9" s="5" customFormat="1" ht="16" customHeight="1" x14ac:dyDescent="0.4">
      <c r="A9" s="20" t="s">
        <v>12</v>
      </c>
      <c r="B9" s="20" t="s">
        <v>13</v>
      </c>
      <c r="C9" s="21">
        <v>2</v>
      </c>
      <c r="D9" s="21">
        <v>1</v>
      </c>
      <c r="E9" s="21">
        <v>3</v>
      </c>
      <c r="F9" s="20" t="s">
        <v>118</v>
      </c>
      <c r="G9" s="1"/>
    </row>
    <row r="10" spans="1:9" s="5" customFormat="1" ht="16" customHeight="1" x14ac:dyDescent="0.4">
      <c r="A10" s="20" t="s">
        <v>40</v>
      </c>
      <c r="B10" s="20" t="s">
        <v>41</v>
      </c>
      <c r="C10" s="21">
        <v>2</v>
      </c>
      <c r="D10" s="21">
        <v>1</v>
      </c>
      <c r="E10" s="21">
        <v>3</v>
      </c>
      <c r="F10" s="20" t="s">
        <v>118</v>
      </c>
      <c r="G10" s="1"/>
      <c r="H10" s="4"/>
      <c r="I10" s="4"/>
    </row>
    <row r="11" spans="1:9" s="4" customFormat="1" ht="16" customHeight="1" x14ac:dyDescent="0.4">
      <c r="A11" s="15" t="s">
        <v>14</v>
      </c>
      <c r="B11" s="15" t="s">
        <v>15</v>
      </c>
      <c r="C11" s="16">
        <v>3</v>
      </c>
      <c r="D11" s="16">
        <v>0</v>
      </c>
      <c r="E11" s="16">
        <f t="shared" ref="E11:E14" si="0">SUM(C11:D11)</f>
        <v>3</v>
      </c>
      <c r="F11" s="15" t="s">
        <v>118</v>
      </c>
      <c r="G11" s="1"/>
    </row>
    <row r="12" spans="1:9" s="50" customFormat="1" ht="16" customHeight="1" x14ac:dyDescent="0.4">
      <c r="A12" s="46" t="s">
        <v>182</v>
      </c>
      <c r="B12" s="46" t="s">
        <v>183</v>
      </c>
      <c r="C12" s="47">
        <v>3</v>
      </c>
      <c r="D12" s="47">
        <v>0</v>
      </c>
      <c r="E12" s="47">
        <f t="shared" si="0"/>
        <v>3</v>
      </c>
      <c r="F12" s="46" t="s">
        <v>118</v>
      </c>
      <c r="G12" s="48"/>
      <c r="H12" s="49"/>
      <c r="I12" s="49"/>
    </row>
    <row r="13" spans="1:9" s="4" customFormat="1" ht="16" customHeight="1" x14ac:dyDescent="0.4">
      <c r="A13" s="15" t="s">
        <v>18</v>
      </c>
      <c r="B13" s="15" t="s">
        <v>19</v>
      </c>
      <c r="C13" s="16">
        <v>3</v>
      </c>
      <c r="D13" s="16">
        <v>0</v>
      </c>
      <c r="E13" s="16">
        <f t="shared" si="0"/>
        <v>3</v>
      </c>
      <c r="F13" s="15" t="s">
        <v>118</v>
      </c>
      <c r="G13" s="1"/>
    </row>
    <row r="14" spans="1:9" s="4" customFormat="1" ht="16" customHeight="1" x14ac:dyDescent="0.4">
      <c r="A14" s="15" t="s">
        <v>20</v>
      </c>
      <c r="B14" s="15" t="s">
        <v>21</v>
      </c>
      <c r="C14" s="16">
        <v>3</v>
      </c>
      <c r="D14" s="16">
        <v>0</v>
      </c>
      <c r="E14" s="16">
        <f t="shared" si="0"/>
        <v>3</v>
      </c>
      <c r="F14" s="15" t="s">
        <v>118</v>
      </c>
      <c r="G14" s="1"/>
    </row>
    <row r="15" spans="1:9" s="52" customFormat="1" ht="16" customHeight="1" x14ac:dyDescent="0.4">
      <c r="A15" s="46" t="s">
        <v>105</v>
      </c>
      <c r="B15" s="46" t="s">
        <v>198</v>
      </c>
      <c r="C15" s="47">
        <v>2</v>
      </c>
      <c r="D15" s="47">
        <v>0</v>
      </c>
      <c r="E15" s="47">
        <v>2</v>
      </c>
      <c r="F15" s="46" t="s">
        <v>118</v>
      </c>
      <c r="G15" s="48"/>
      <c r="H15" s="49"/>
      <c r="I15" s="49"/>
    </row>
    <row r="16" spans="1:9" s="8" customFormat="1" ht="16" customHeight="1" x14ac:dyDescent="0.4">
      <c r="A16" s="15" t="s">
        <v>22</v>
      </c>
      <c r="B16" s="17" t="s">
        <v>101</v>
      </c>
      <c r="C16" s="18" t="s">
        <v>23</v>
      </c>
      <c r="D16" s="16">
        <v>0</v>
      </c>
      <c r="E16" s="18" t="s">
        <v>23</v>
      </c>
      <c r="F16" s="15" t="s">
        <v>118</v>
      </c>
      <c r="G16" s="1"/>
      <c r="H16" s="4"/>
      <c r="I16" s="4"/>
    </row>
    <row r="17" spans="1:9" s="4" customFormat="1" ht="14.5" customHeight="1" x14ac:dyDescent="0.4">
      <c r="A17" s="15"/>
      <c r="B17" s="15"/>
      <c r="C17" s="102" t="s">
        <v>24</v>
      </c>
      <c r="D17" s="102"/>
      <c r="E17" s="29">
        <f>SUM(E8:E16)</f>
        <v>23</v>
      </c>
      <c r="F17" s="15"/>
      <c r="G17" s="1"/>
    </row>
    <row r="18" spans="1:9" s="4" customFormat="1" ht="14.5" customHeight="1" x14ac:dyDescent="0.4">
      <c r="A18" s="106" t="s">
        <v>25</v>
      </c>
      <c r="B18" s="106"/>
      <c r="C18" s="106"/>
      <c r="D18" s="106"/>
      <c r="E18" s="106"/>
      <c r="F18" s="106"/>
      <c r="G18" s="1"/>
    </row>
    <row r="19" spans="1:9" s="5" customFormat="1" ht="16" customHeight="1" x14ac:dyDescent="0.4">
      <c r="A19" s="20" t="s">
        <v>26</v>
      </c>
      <c r="B19" s="20" t="s">
        <v>27</v>
      </c>
      <c r="C19" s="21">
        <v>2</v>
      </c>
      <c r="D19" s="21">
        <v>1</v>
      </c>
      <c r="E19" s="21">
        <v>3</v>
      </c>
      <c r="F19" s="20" t="s">
        <v>12</v>
      </c>
      <c r="G19" s="1"/>
      <c r="H19" s="4"/>
      <c r="I19" s="4"/>
    </row>
    <row r="20" spans="1:9" s="5" customFormat="1" ht="16" customHeight="1" x14ac:dyDescent="0.4">
      <c r="A20" s="20" t="s">
        <v>38</v>
      </c>
      <c r="B20" s="20" t="s">
        <v>39</v>
      </c>
      <c r="C20" s="21">
        <v>2</v>
      </c>
      <c r="D20" s="21">
        <v>1</v>
      </c>
      <c r="E20" s="21">
        <v>3</v>
      </c>
      <c r="F20" s="20" t="s">
        <v>26</v>
      </c>
      <c r="G20" s="1"/>
      <c r="H20" s="4"/>
      <c r="I20" s="4"/>
    </row>
    <row r="21" spans="1:9" s="10" customFormat="1" ht="16" customHeight="1" x14ac:dyDescent="0.4">
      <c r="A21" s="15" t="s">
        <v>29</v>
      </c>
      <c r="B21" s="15" t="s">
        <v>30</v>
      </c>
      <c r="C21" s="16">
        <v>3</v>
      </c>
      <c r="D21" s="16">
        <v>0</v>
      </c>
      <c r="E21" s="16">
        <f t="shared" ref="E21" si="1">SUM(C21:D21)</f>
        <v>3</v>
      </c>
      <c r="F21" s="15" t="s">
        <v>20</v>
      </c>
    </row>
    <row r="22" spans="1:9" s="6" customFormat="1" ht="16" customHeight="1" x14ac:dyDescent="0.4">
      <c r="A22" s="20" t="s">
        <v>146</v>
      </c>
      <c r="B22" s="20" t="s">
        <v>33</v>
      </c>
      <c r="C22" s="21">
        <v>3</v>
      </c>
      <c r="D22" s="21">
        <v>0</v>
      </c>
      <c r="E22" s="21">
        <v>3</v>
      </c>
      <c r="F22" s="20" t="s">
        <v>20</v>
      </c>
      <c r="G22" s="1"/>
      <c r="H22" s="4"/>
      <c r="I22" s="4"/>
    </row>
    <row r="23" spans="1:9" s="9" customFormat="1" ht="16" customHeight="1" x14ac:dyDescent="0.4">
      <c r="A23" s="15" t="s">
        <v>16</v>
      </c>
      <c r="B23" s="15" t="s">
        <v>17</v>
      </c>
      <c r="C23" s="16">
        <v>3</v>
      </c>
      <c r="D23" s="16">
        <v>0</v>
      </c>
      <c r="E23" s="16">
        <f t="shared" ref="E23:E25" si="2">SUM(C23:D23)</f>
        <v>3</v>
      </c>
      <c r="F23" s="15" t="s">
        <v>118</v>
      </c>
      <c r="G23" s="1"/>
      <c r="H23" s="4"/>
      <c r="I23" s="4"/>
    </row>
    <row r="24" spans="1:9" s="51" customFormat="1" ht="16" customHeight="1" x14ac:dyDescent="0.4">
      <c r="A24" s="46" t="s">
        <v>209</v>
      </c>
      <c r="B24" s="46" t="s">
        <v>184</v>
      </c>
      <c r="C24" s="47">
        <v>3</v>
      </c>
      <c r="D24" s="47">
        <v>0</v>
      </c>
      <c r="E24" s="47">
        <f t="shared" si="2"/>
        <v>3</v>
      </c>
      <c r="F24" s="46" t="s">
        <v>118</v>
      </c>
      <c r="G24" s="48"/>
      <c r="H24" s="49"/>
      <c r="I24" s="49"/>
    </row>
    <row r="25" spans="1:9" s="6" customFormat="1" ht="16" customHeight="1" x14ac:dyDescent="0.4">
      <c r="A25" s="15" t="s">
        <v>34</v>
      </c>
      <c r="B25" s="15" t="s">
        <v>35</v>
      </c>
      <c r="C25" s="16">
        <v>3</v>
      </c>
      <c r="D25" s="16">
        <v>0</v>
      </c>
      <c r="E25" s="16">
        <f t="shared" si="2"/>
        <v>3</v>
      </c>
      <c r="F25" s="15" t="s">
        <v>118</v>
      </c>
      <c r="G25" s="1"/>
      <c r="H25" s="4"/>
      <c r="I25" s="4"/>
    </row>
    <row r="26" spans="1:9" s="52" customFormat="1" ht="16" customHeight="1" x14ac:dyDescent="0.4">
      <c r="A26" s="46" t="s">
        <v>104</v>
      </c>
      <c r="B26" s="46" t="s">
        <v>199</v>
      </c>
      <c r="C26" s="47">
        <v>2</v>
      </c>
      <c r="D26" s="47">
        <v>0</v>
      </c>
      <c r="E26" s="47">
        <v>2</v>
      </c>
      <c r="F26" s="46" t="s">
        <v>105</v>
      </c>
      <c r="G26" s="48"/>
      <c r="H26" s="49"/>
      <c r="I26" s="49"/>
    </row>
    <row r="27" spans="1:9" s="8" customFormat="1" ht="30" customHeight="1" x14ac:dyDescent="0.4">
      <c r="A27" s="15" t="s">
        <v>36</v>
      </c>
      <c r="B27" s="17" t="s">
        <v>102</v>
      </c>
      <c r="C27" s="18" t="s">
        <v>23</v>
      </c>
      <c r="D27" s="16">
        <v>0</v>
      </c>
      <c r="E27" s="18" t="s">
        <v>23</v>
      </c>
      <c r="F27" s="15" t="s">
        <v>22</v>
      </c>
      <c r="G27" s="1"/>
      <c r="H27" s="4"/>
      <c r="I27" s="4"/>
    </row>
    <row r="28" spans="1:9" s="4" customFormat="1" ht="14.5" customHeight="1" x14ac:dyDescent="0.4">
      <c r="A28" s="15"/>
      <c r="B28" s="15"/>
      <c r="C28" s="102" t="s">
        <v>24</v>
      </c>
      <c r="D28" s="102"/>
      <c r="E28" s="29">
        <f>SUM(E19:E27)</f>
        <v>23</v>
      </c>
      <c r="F28" s="15"/>
      <c r="G28" s="1"/>
    </row>
    <row r="29" spans="1:9" s="4" customFormat="1" ht="14.5" customHeight="1" x14ac:dyDescent="0.4">
      <c r="A29" s="106" t="s">
        <v>37</v>
      </c>
      <c r="B29" s="106"/>
      <c r="C29" s="106"/>
      <c r="D29" s="106"/>
      <c r="E29" s="106"/>
      <c r="F29" s="106"/>
      <c r="G29" s="1"/>
    </row>
    <row r="30" spans="1:9" s="5" customFormat="1" ht="16" customHeight="1" x14ac:dyDescent="0.4">
      <c r="A30" s="20" t="s">
        <v>47</v>
      </c>
      <c r="B30" s="20" t="s">
        <v>48</v>
      </c>
      <c r="C30" s="21">
        <v>2</v>
      </c>
      <c r="D30" s="21">
        <v>1</v>
      </c>
      <c r="E30" s="21">
        <v>3</v>
      </c>
      <c r="F30" s="20" t="s">
        <v>26</v>
      </c>
      <c r="G30" s="1"/>
      <c r="H30" s="4"/>
      <c r="I30" s="4"/>
    </row>
    <row r="31" spans="1:9" s="5" customFormat="1" ht="16" customHeight="1" x14ac:dyDescent="0.4">
      <c r="A31" s="15" t="s">
        <v>158</v>
      </c>
      <c r="B31" s="15" t="s">
        <v>159</v>
      </c>
      <c r="C31" s="16">
        <v>3</v>
      </c>
      <c r="D31" s="16">
        <v>0</v>
      </c>
      <c r="E31" s="16">
        <f>SUM(C31:D31)</f>
        <v>3</v>
      </c>
      <c r="F31" s="15" t="s">
        <v>29</v>
      </c>
      <c r="G31" s="1"/>
      <c r="H31" s="4"/>
      <c r="I31" s="4"/>
    </row>
    <row r="32" spans="1:9" s="10" customFormat="1" ht="16" customHeight="1" x14ac:dyDescent="0.4">
      <c r="A32" s="20" t="s">
        <v>63</v>
      </c>
      <c r="B32" s="20" t="s">
        <v>204</v>
      </c>
      <c r="C32" s="21">
        <v>2</v>
      </c>
      <c r="D32" s="21">
        <v>1</v>
      </c>
      <c r="E32" s="21">
        <v>3</v>
      </c>
      <c r="F32" s="20" t="s">
        <v>10</v>
      </c>
      <c r="G32" s="1"/>
    </row>
    <row r="33" spans="1:9" s="10" customFormat="1" ht="16" customHeight="1" x14ac:dyDescent="0.4">
      <c r="A33" s="15" t="s">
        <v>49</v>
      </c>
      <c r="B33" s="15" t="s">
        <v>50</v>
      </c>
      <c r="C33" s="16">
        <v>2</v>
      </c>
      <c r="D33" s="16">
        <v>1</v>
      </c>
      <c r="E33" s="16">
        <f>SUM(C33:D33)</f>
        <v>3</v>
      </c>
      <c r="F33" s="15" t="s">
        <v>26</v>
      </c>
      <c r="G33" s="1"/>
      <c r="H33" s="4"/>
      <c r="I33" s="4"/>
    </row>
    <row r="34" spans="1:9" s="10" customFormat="1" ht="16" customHeight="1" x14ac:dyDescent="0.4">
      <c r="A34" s="15" t="s">
        <v>42</v>
      </c>
      <c r="B34" s="15" t="s">
        <v>43</v>
      </c>
      <c r="C34" s="16">
        <v>2</v>
      </c>
      <c r="D34" s="16">
        <v>1</v>
      </c>
      <c r="E34" s="16">
        <f t="shared" ref="E34" si="3">SUM(C34:D34)</f>
        <v>3</v>
      </c>
      <c r="F34" s="15" t="s">
        <v>26</v>
      </c>
      <c r="G34" s="1"/>
      <c r="H34" s="4"/>
      <c r="I34" s="4" t="s">
        <v>120</v>
      </c>
    </row>
    <row r="35" spans="1:9" s="9" customFormat="1" ht="16" customHeight="1" x14ac:dyDescent="0.4">
      <c r="A35" s="20" t="s">
        <v>154</v>
      </c>
      <c r="B35" s="20" t="s">
        <v>175</v>
      </c>
      <c r="C35" s="21">
        <v>3</v>
      </c>
      <c r="D35" s="21">
        <v>0</v>
      </c>
      <c r="E35" s="21">
        <v>3</v>
      </c>
      <c r="F35" s="20" t="s">
        <v>146</v>
      </c>
      <c r="G35" s="1"/>
      <c r="H35" s="4"/>
      <c r="I35" s="4"/>
    </row>
    <row r="36" spans="1:9" s="6" customFormat="1" ht="16" customHeight="1" x14ac:dyDescent="0.4">
      <c r="A36" s="15" t="s">
        <v>44</v>
      </c>
      <c r="B36" s="15" t="s">
        <v>45</v>
      </c>
      <c r="C36" s="16">
        <v>3</v>
      </c>
      <c r="D36" s="16">
        <v>0</v>
      </c>
      <c r="E36" s="16">
        <f t="shared" ref="E36" si="4">SUM(C36:D36)</f>
        <v>3</v>
      </c>
      <c r="F36" s="15" t="s">
        <v>118</v>
      </c>
      <c r="G36" s="1"/>
      <c r="H36" s="4"/>
      <c r="I36" s="4"/>
    </row>
    <row r="37" spans="1:9" s="52" customFormat="1" ht="16" customHeight="1" x14ac:dyDescent="0.4">
      <c r="A37" s="46" t="s">
        <v>59</v>
      </c>
      <c r="B37" s="53" t="s">
        <v>200</v>
      </c>
      <c r="C37" s="47">
        <v>2</v>
      </c>
      <c r="D37" s="47">
        <v>0</v>
      </c>
      <c r="E37" s="47">
        <v>2</v>
      </c>
      <c r="F37" s="46" t="s">
        <v>105</v>
      </c>
      <c r="G37" s="48"/>
      <c r="H37" s="49"/>
      <c r="I37" s="49"/>
    </row>
    <row r="38" spans="1:9" s="4" customFormat="1" ht="16" customHeight="1" x14ac:dyDescent="0.4">
      <c r="A38" s="15"/>
      <c r="B38" s="54" t="s">
        <v>201</v>
      </c>
      <c r="C38" s="102" t="s">
        <v>24</v>
      </c>
      <c r="D38" s="102"/>
      <c r="E38" s="29">
        <f>SUM(E30:E37)</f>
        <v>23</v>
      </c>
      <c r="F38" s="15"/>
      <c r="G38" s="1"/>
    </row>
    <row r="39" spans="1:9" s="4" customFormat="1" ht="16" customHeight="1" x14ac:dyDescent="0.4">
      <c r="A39" s="106" t="s">
        <v>46</v>
      </c>
      <c r="B39" s="106"/>
      <c r="C39" s="106"/>
      <c r="D39" s="106"/>
      <c r="E39" s="106"/>
      <c r="F39" s="106"/>
      <c r="G39" s="1"/>
      <c r="I39" s="4" t="s">
        <v>120</v>
      </c>
    </row>
    <row r="40" spans="1:9" s="10" customFormat="1" ht="16" customHeight="1" x14ac:dyDescent="0.4">
      <c r="A40" s="20" t="s">
        <v>185</v>
      </c>
      <c r="B40" s="20" t="s">
        <v>94</v>
      </c>
      <c r="C40" s="21">
        <v>2</v>
      </c>
      <c r="D40" s="21">
        <v>1</v>
      </c>
      <c r="E40" s="21">
        <v>3</v>
      </c>
      <c r="F40" s="20" t="s">
        <v>118</v>
      </c>
      <c r="G40" s="1"/>
    </row>
    <row r="41" spans="1:9" s="10" customFormat="1" ht="16" customHeight="1" x14ac:dyDescent="0.4">
      <c r="A41" s="15" t="s">
        <v>31</v>
      </c>
      <c r="B41" s="15" t="s">
        <v>32</v>
      </c>
      <c r="C41" s="16">
        <v>2</v>
      </c>
      <c r="D41" s="16">
        <v>1</v>
      </c>
      <c r="E41" s="16">
        <f>SUM(C41:D41)</f>
        <v>3</v>
      </c>
      <c r="F41" s="15" t="s">
        <v>10</v>
      </c>
      <c r="G41" s="1"/>
      <c r="H41" s="4"/>
      <c r="I41" s="4"/>
    </row>
    <row r="42" spans="1:9" s="10" customFormat="1" ht="16" customHeight="1" x14ac:dyDescent="0.4">
      <c r="A42" s="15" t="s">
        <v>51</v>
      </c>
      <c r="B42" s="15" t="s">
        <v>52</v>
      </c>
      <c r="C42" s="16">
        <v>2</v>
      </c>
      <c r="D42" s="16">
        <v>1</v>
      </c>
      <c r="E42" s="16">
        <f t="shared" ref="E42" si="5">SUM(C42:D42)</f>
        <v>3</v>
      </c>
      <c r="F42" s="15" t="s">
        <v>42</v>
      </c>
      <c r="G42" s="1"/>
      <c r="H42" s="4"/>
      <c r="I42" s="4"/>
    </row>
    <row r="43" spans="1:9" s="10" customFormat="1" ht="16" customHeight="1" x14ac:dyDescent="0.4">
      <c r="A43" s="20" t="s">
        <v>149</v>
      </c>
      <c r="B43" s="20" t="s">
        <v>53</v>
      </c>
      <c r="C43" s="21">
        <v>2</v>
      </c>
      <c r="D43" s="21">
        <v>1</v>
      </c>
      <c r="E43" s="21">
        <v>3</v>
      </c>
      <c r="F43" s="20" t="s">
        <v>118</v>
      </c>
      <c r="G43" s="1"/>
      <c r="H43" s="4"/>
      <c r="I43" s="4"/>
    </row>
    <row r="44" spans="1:9" s="9" customFormat="1" ht="16" customHeight="1" x14ac:dyDescent="0.4">
      <c r="A44" s="20" t="s">
        <v>194</v>
      </c>
      <c r="B44" s="20" t="s">
        <v>28</v>
      </c>
      <c r="C44" s="21">
        <v>3</v>
      </c>
      <c r="D44" s="21">
        <v>0</v>
      </c>
      <c r="E44" s="21">
        <v>3</v>
      </c>
      <c r="F44" s="20" t="s">
        <v>118</v>
      </c>
      <c r="G44" s="1"/>
      <c r="H44" s="4"/>
      <c r="I44" s="4"/>
    </row>
    <row r="45" spans="1:9" s="9" customFormat="1" ht="16" customHeight="1" x14ac:dyDescent="0.4">
      <c r="A45" s="20" t="s">
        <v>155</v>
      </c>
      <c r="B45" s="20" t="s">
        <v>54</v>
      </c>
      <c r="C45" s="21">
        <v>3</v>
      </c>
      <c r="D45" s="21">
        <v>0</v>
      </c>
      <c r="E45" s="21">
        <v>3</v>
      </c>
      <c r="F45" s="20" t="s">
        <v>146</v>
      </c>
      <c r="G45" s="1"/>
      <c r="H45" s="4"/>
      <c r="I45" s="4"/>
    </row>
    <row r="46" spans="1:9" s="7" customFormat="1" ht="16" customHeight="1" x14ac:dyDescent="0.4">
      <c r="A46" s="15" t="s">
        <v>57</v>
      </c>
      <c r="B46" s="15" t="s">
        <v>58</v>
      </c>
      <c r="C46" s="16">
        <v>3</v>
      </c>
      <c r="D46" s="16">
        <v>0</v>
      </c>
      <c r="E46" s="16">
        <f>SUM(C46:D46)</f>
        <v>3</v>
      </c>
      <c r="F46" s="15" t="s">
        <v>118</v>
      </c>
      <c r="G46" s="1"/>
      <c r="H46" s="4"/>
      <c r="I46" s="4"/>
    </row>
    <row r="47" spans="1:9" s="8" customFormat="1" ht="16" customHeight="1" x14ac:dyDescent="0.4">
      <c r="A47" s="46" t="s">
        <v>103</v>
      </c>
      <c r="B47" s="53" t="s">
        <v>200</v>
      </c>
      <c r="C47" s="47">
        <v>2</v>
      </c>
      <c r="D47" s="47">
        <v>0</v>
      </c>
      <c r="E47" s="47">
        <v>2</v>
      </c>
      <c r="F47" s="46" t="s">
        <v>105</v>
      </c>
      <c r="G47" s="1"/>
      <c r="H47" s="4"/>
      <c r="I47" s="4"/>
    </row>
    <row r="48" spans="1:9" s="4" customFormat="1" ht="16" customHeight="1" x14ac:dyDescent="0.4">
      <c r="A48" s="15"/>
      <c r="B48" s="54" t="s">
        <v>202</v>
      </c>
      <c r="C48" s="102" t="s">
        <v>24</v>
      </c>
      <c r="D48" s="102"/>
      <c r="E48" s="29">
        <f>SUM(E40:E47)</f>
        <v>23</v>
      </c>
      <c r="F48" s="15"/>
      <c r="G48" s="1"/>
    </row>
    <row r="49" spans="1:9" s="4" customFormat="1" ht="14.5" customHeight="1" x14ac:dyDescent="0.4">
      <c r="A49" s="106" t="s">
        <v>60</v>
      </c>
      <c r="B49" s="106"/>
      <c r="C49" s="106"/>
      <c r="D49" s="106"/>
      <c r="E49" s="106"/>
      <c r="F49" s="106"/>
      <c r="G49" s="1"/>
    </row>
    <row r="50" spans="1:9" s="87" customFormat="1" ht="16" customHeight="1" x14ac:dyDescent="0.4">
      <c r="A50" s="84" t="s">
        <v>61</v>
      </c>
      <c r="B50" s="84" t="s">
        <v>62</v>
      </c>
      <c r="C50" s="85">
        <v>3</v>
      </c>
      <c r="D50" s="85">
        <v>0</v>
      </c>
      <c r="E50" s="85">
        <f t="shared" ref="E50" si="6">SUM(C50:D50)</f>
        <v>3</v>
      </c>
      <c r="F50" s="84" t="s">
        <v>38</v>
      </c>
      <c r="G50" s="86"/>
    </row>
    <row r="51" spans="1:9" s="87" customFormat="1" ht="16" customHeight="1" x14ac:dyDescent="0.4">
      <c r="A51" s="88" t="s">
        <v>148</v>
      </c>
      <c r="B51" s="88" t="s">
        <v>189</v>
      </c>
      <c r="C51" s="89">
        <v>3</v>
      </c>
      <c r="D51" s="89">
        <v>0</v>
      </c>
      <c r="E51" s="89">
        <v>3</v>
      </c>
      <c r="F51" s="88" t="s">
        <v>51</v>
      </c>
      <c r="G51" s="86"/>
    </row>
    <row r="52" spans="1:9" s="87" customFormat="1" ht="16" customHeight="1" x14ac:dyDescent="0.4">
      <c r="A52" s="88" t="s">
        <v>147</v>
      </c>
      <c r="B52" s="88" t="s">
        <v>205</v>
      </c>
      <c r="C52" s="89">
        <v>2</v>
      </c>
      <c r="D52" s="89">
        <v>1</v>
      </c>
      <c r="E52" s="89">
        <v>3</v>
      </c>
      <c r="F52" s="88" t="s">
        <v>63</v>
      </c>
      <c r="G52" s="86"/>
    </row>
    <row r="53" spans="1:9" s="4" customFormat="1" ht="16" customHeight="1" x14ac:dyDescent="0.4">
      <c r="A53" s="20" t="s">
        <v>137</v>
      </c>
      <c r="B53" s="20" t="s">
        <v>136</v>
      </c>
      <c r="C53" s="21">
        <v>2</v>
      </c>
      <c r="D53" s="21">
        <v>1</v>
      </c>
      <c r="E53" s="16">
        <f>SUM(C53:D53)</f>
        <v>3</v>
      </c>
      <c r="F53" s="15" t="s">
        <v>10</v>
      </c>
      <c r="G53" s="1"/>
    </row>
    <row r="54" spans="1:9" s="87" customFormat="1" ht="16" customHeight="1" x14ac:dyDescent="0.4">
      <c r="A54" s="84" t="s">
        <v>178</v>
      </c>
      <c r="B54" s="84" t="s">
        <v>179</v>
      </c>
      <c r="C54" s="85">
        <v>2</v>
      </c>
      <c r="D54" s="85">
        <v>1</v>
      </c>
      <c r="E54" s="85">
        <f t="shared" ref="E54" si="7">SUM(C54:D54)</f>
        <v>3</v>
      </c>
      <c r="F54" s="84" t="s">
        <v>118</v>
      </c>
      <c r="G54" s="86"/>
    </row>
    <row r="55" spans="1:9" s="87" customFormat="1" ht="16" customHeight="1" x14ac:dyDescent="0.4">
      <c r="A55" s="84" t="s">
        <v>134</v>
      </c>
      <c r="B55" s="84" t="s">
        <v>67</v>
      </c>
      <c r="C55" s="85">
        <v>2</v>
      </c>
      <c r="D55" s="85">
        <v>1</v>
      </c>
      <c r="E55" s="85">
        <f>SUM(C55:D55)</f>
        <v>3</v>
      </c>
      <c r="F55" s="84" t="s">
        <v>118</v>
      </c>
      <c r="G55" s="86"/>
    </row>
    <row r="56" spans="1:9" s="87" customFormat="1" ht="16" customHeight="1" x14ac:dyDescent="0.4">
      <c r="A56" s="88" t="s">
        <v>151</v>
      </c>
      <c r="B56" s="88" t="s">
        <v>66</v>
      </c>
      <c r="C56" s="89">
        <v>2</v>
      </c>
      <c r="D56" s="89">
        <v>1</v>
      </c>
      <c r="E56" s="89">
        <v>3</v>
      </c>
      <c r="F56" s="88" t="s">
        <v>149</v>
      </c>
      <c r="G56" s="86"/>
    </row>
    <row r="57" spans="1:9" s="87" customFormat="1" ht="16" customHeight="1" x14ac:dyDescent="0.4">
      <c r="A57" s="84" t="s">
        <v>73</v>
      </c>
      <c r="B57" s="84" t="s">
        <v>74</v>
      </c>
      <c r="C57" s="85">
        <v>3</v>
      </c>
      <c r="D57" s="85">
        <v>0</v>
      </c>
      <c r="E57" s="85">
        <f>SUM(C57:D57)</f>
        <v>3</v>
      </c>
      <c r="F57" s="84" t="s">
        <v>118</v>
      </c>
      <c r="G57" s="86"/>
    </row>
    <row r="58" spans="1:9" s="4" customFormat="1" ht="16" customHeight="1" x14ac:dyDescent="0.4">
      <c r="A58" s="15"/>
      <c r="B58" s="15"/>
      <c r="C58" s="102" t="s">
        <v>24</v>
      </c>
      <c r="D58" s="102"/>
      <c r="E58" s="29">
        <f>SUM(E50:E57)</f>
        <v>24</v>
      </c>
      <c r="F58" s="15"/>
      <c r="G58" s="1"/>
    </row>
    <row r="59" spans="1:9" s="9" customFormat="1" ht="14.5" customHeight="1" x14ac:dyDescent="0.4">
      <c r="A59" s="106" t="s">
        <v>68</v>
      </c>
      <c r="B59" s="106"/>
      <c r="C59" s="106"/>
      <c r="D59" s="106"/>
      <c r="E59" s="106"/>
      <c r="F59" s="106"/>
      <c r="G59" s="1"/>
      <c r="H59" s="4"/>
      <c r="I59" s="4"/>
    </row>
    <row r="60" spans="1:9" s="4" customFormat="1" ht="16" customHeight="1" x14ac:dyDescent="0.4">
      <c r="A60" s="15" t="s">
        <v>176</v>
      </c>
      <c r="B60" s="15" t="s">
        <v>177</v>
      </c>
      <c r="C60" s="16">
        <v>2</v>
      </c>
      <c r="D60" s="16">
        <v>1</v>
      </c>
      <c r="E60" s="16">
        <f>SUM(C60:D60)</f>
        <v>3</v>
      </c>
      <c r="F60" s="15" t="s">
        <v>178</v>
      </c>
      <c r="G60" s="1"/>
    </row>
    <row r="61" spans="1:9" s="98" customFormat="1" ht="16" customHeight="1" x14ac:dyDescent="0.4">
      <c r="A61" s="95" t="s">
        <v>145</v>
      </c>
      <c r="B61" s="95" t="s">
        <v>69</v>
      </c>
      <c r="C61" s="96">
        <v>3</v>
      </c>
      <c r="D61" s="96">
        <v>0</v>
      </c>
      <c r="E61" s="96">
        <f>SUM(C61:D61)</f>
        <v>3</v>
      </c>
      <c r="F61" s="95" t="s">
        <v>61</v>
      </c>
      <c r="G61" s="97"/>
    </row>
    <row r="62" spans="1:9" s="98" customFormat="1" ht="16" customHeight="1" x14ac:dyDescent="0.4">
      <c r="A62" s="99" t="s">
        <v>150</v>
      </c>
      <c r="B62" s="99" t="s">
        <v>188</v>
      </c>
      <c r="C62" s="100">
        <v>2</v>
      </c>
      <c r="D62" s="100">
        <v>1</v>
      </c>
      <c r="E62" s="100">
        <v>3</v>
      </c>
      <c r="F62" s="99" t="s">
        <v>147</v>
      </c>
      <c r="G62" s="97"/>
    </row>
    <row r="63" spans="1:9" s="98" customFormat="1" ht="16" customHeight="1" x14ac:dyDescent="0.4">
      <c r="A63" s="95" t="s">
        <v>70</v>
      </c>
      <c r="B63" s="95" t="s">
        <v>71</v>
      </c>
      <c r="C63" s="96">
        <v>3</v>
      </c>
      <c r="D63" s="96">
        <v>0</v>
      </c>
      <c r="E63" s="96">
        <f>SUM(C63:D63)</f>
        <v>3</v>
      </c>
      <c r="F63" s="95" t="s">
        <v>148</v>
      </c>
      <c r="G63" s="97"/>
    </row>
    <row r="64" spans="1:9" s="98" customFormat="1" ht="16" customHeight="1" x14ac:dyDescent="0.4">
      <c r="A64" s="95" t="s">
        <v>135</v>
      </c>
      <c r="B64" s="95" t="s">
        <v>217</v>
      </c>
      <c r="C64" s="96">
        <v>2</v>
      </c>
      <c r="D64" s="96">
        <v>1</v>
      </c>
      <c r="E64" s="96">
        <f t="shared" ref="E64" si="8">SUM(C64:D64)</f>
        <v>3</v>
      </c>
      <c r="F64" s="95" t="s">
        <v>118</v>
      </c>
      <c r="G64" s="97"/>
    </row>
    <row r="65" spans="1:9" s="98" customFormat="1" ht="16" customHeight="1" x14ac:dyDescent="0.4">
      <c r="A65" s="95" t="s">
        <v>197</v>
      </c>
      <c r="B65" s="95" t="s">
        <v>206</v>
      </c>
      <c r="C65" s="96">
        <v>3</v>
      </c>
      <c r="D65" s="96">
        <v>0</v>
      </c>
      <c r="E65" s="96">
        <v>3</v>
      </c>
      <c r="F65" s="95" t="s">
        <v>18</v>
      </c>
      <c r="G65" s="97"/>
    </row>
    <row r="66" spans="1:9" s="98" customFormat="1" ht="16" customHeight="1" x14ac:dyDescent="0.4">
      <c r="A66" s="95" t="s">
        <v>55</v>
      </c>
      <c r="B66" s="95" t="s">
        <v>56</v>
      </c>
      <c r="C66" s="101">
        <v>3</v>
      </c>
      <c r="D66" s="96">
        <v>0</v>
      </c>
      <c r="E66" s="101" t="s">
        <v>23</v>
      </c>
      <c r="F66" s="95" t="s">
        <v>118</v>
      </c>
      <c r="G66" s="97"/>
    </row>
    <row r="67" spans="1:9" s="4" customFormat="1" ht="18" customHeight="1" x14ac:dyDescent="0.4">
      <c r="A67" s="15"/>
      <c r="B67" s="15"/>
      <c r="C67" s="102" t="s">
        <v>24</v>
      </c>
      <c r="D67" s="102"/>
      <c r="E67" s="29">
        <f>SUM(E60:E66)</f>
        <v>18</v>
      </c>
      <c r="F67" s="15"/>
      <c r="G67" s="1"/>
    </row>
    <row r="68" spans="1:9" s="10" customFormat="1" ht="14.5" customHeight="1" x14ac:dyDescent="0.4">
      <c r="A68" s="106" t="s">
        <v>75</v>
      </c>
      <c r="B68" s="106"/>
      <c r="C68" s="106"/>
      <c r="D68" s="106"/>
      <c r="E68" s="106"/>
      <c r="F68" s="106"/>
      <c r="G68" s="1"/>
      <c r="H68" s="4"/>
      <c r="I68" s="4"/>
    </row>
    <row r="69" spans="1:9" s="4" customFormat="1" ht="16" customHeight="1" x14ac:dyDescent="0.4">
      <c r="A69" s="15" t="s">
        <v>78</v>
      </c>
      <c r="B69" s="15" t="s">
        <v>79</v>
      </c>
      <c r="C69" s="16">
        <v>3</v>
      </c>
      <c r="D69" s="16">
        <v>0</v>
      </c>
      <c r="E69" s="16">
        <f t="shared" ref="E69:E71" si="9">SUM(C69:D69)</f>
        <v>3</v>
      </c>
      <c r="F69" s="15" t="s">
        <v>40</v>
      </c>
      <c r="G69" s="1"/>
    </row>
    <row r="70" spans="1:9" s="87" customFormat="1" ht="16" customHeight="1" x14ac:dyDescent="0.4">
      <c r="A70" s="88" t="s">
        <v>76</v>
      </c>
      <c r="B70" s="88" t="s">
        <v>77</v>
      </c>
      <c r="C70" s="89">
        <v>2</v>
      </c>
      <c r="D70" s="89">
        <v>1</v>
      </c>
      <c r="E70" s="85">
        <f t="shared" si="9"/>
        <v>3</v>
      </c>
      <c r="F70" s="84" t="s">
        <v>10</v>
      </c>
      <c r="G70" s="86"/>
    </row>
    <row r="71" spans="1:9" s="98" customFormat="1" ht="16" customHeight="1" x14ac:dyDescent="0.4">
      <c r="A71" s="95" t="s">
        <v>64</v>
      </c>
      <c r="B71" s="95" t="s">
        <v>65</v>
      </c>
      <c r="C71" s="96">
        <v>3</v>
      </c>
      <c r="D71" s="96">
        <v>0</v>
      </c>
      <c r="E71" s="96">
        <f t="shared" si="9"/>
        <v>3</v>
      </c>
      <c r="F71" s="95" t="s">
        <v>38</v>
      </c>
      <c r="G71" s="97"/>
    </row>
    <row r="72" spans="1:9" s="4" customFormat="1" ht="14.5" customHeight="1" x14ac:dyDescent="0.4">
      <c r="A72" s="15"/>
      <c r="B72" s="15"/>
      <c r="C72" s="102" t="s">
        <v>24</v>
      </c>
      <c r="D72" s="102"/>
      <c r="E72" s="29">
        <f>SUM(E69:E71)</f>
        <v>9</v>
      </c>
      <c r="F72" s="15"/>
      <c r="G72" s="1"/>
    </row>
    <row r="73" spans="1:9" s="9" customFormat="1" ht="14.5" customHeight="1" x14ac:dyDescent="0.4">
      <c r="A73" s="110" t="s">
        <v>80</v>
      </c>
      <c r="B73" s="110"/>
      <c r="C73" s="110"/>
      <c r="D73" s="110"/>
      <c r="E73" s="110"/>
      <c r="F73" s="110"/>
      <c r="G73" s="1"/>
    </row>
    <row r="74" spans="1:9" s="98" customFormat="1" ht="16" customHeight="1" x14ac:dyDescent="0.4">
      <c r="A74" s="99" t="s">
        <v>153</v>
      </c>
      <c r="B74" s="99" t="s">
        <v>82</v>
      </c>
      <c r="C74" s="100">
        <v>3</v>
      </c>
      <c r="D74" s="100">
        <v>0</v>
      </c>
      <c r="E74" s="100">
        <v>3</v>
      </c>
      <c r="F74" s="99" t="s">
        <v>118</v>
      </c>
      <c r="G74" s="97"/>
    </row>
    <row r="75" spans="1:9" s="4" customFormat="1" ht="16" customHeight="1" x14ac:dyDescent="0.4">
      <c r="A75" s="20" t="s">
        <v>152</v>
      </c>
      <c r="B75" s="20" t="s">
        <v>81</v>
      </c>
      <c r="C75" s="21">
        <v>2</v>
      </c>
      <c r="D75" s="21">
        <v>1</v>
      </c>
      <c r="E75" s="21">
        <v>3</v>
      </c>
      <c r="F75" s="20" t="s">
        <v>29</v>
      </c>
      <c r="G75" s="1"/>
    </row>
    <row r="76" spans="1:9" s="98" customFormat="1" ht="16" customHeight="1" x14ac:dyDescent="0.4">
      <c r="A76" s="95" t="s">
        <v>86</v>
      </c>
      <c r="B76" s="95" t="s">
        <v>87</v>
      </c>
      <c r="C76" s="96">
        <v>3</v>
      </c>
      <c r="D76" s="96">
        <v>0</v>
      </c>
      <c r="E76" s="100">
        <f t="shared" ref="E76:E79" si="10">SUM(C76:D76)</f>
        <v>3</v>
      </c>
      <c r="F76" s="95" t="s">
        <v>10</v>
      </c>
      <c r="G76" s="97"/>
    </row>
    <row r="77" spans="1:9" s="11" customFormat="1" ht="16" customHeight="1" x14ac:dyDescent="0.4">
      <c r="A77" s="20" t="s">
        <v>83</v>
      </c>
      <c r="B77" s="20" t="s">
        <v>84</v>
      </c>
      <c r="C77" s="21">
        <v>3</v>
      </c>
      <c r="D77" s="21">
        <v>0</v>
      </c>
      <c r="E77" s="21">
        <f t="shared" si="10"/>
        <v>3</v>
      </c>
      <c r="F77" s="20" t="s">
        <v>70</v>
      </c>
      <c r="G77" s="1"/>
      <c r="H77" s="4"/>
      <c r="I77" s="4"/>
    </row>
    <row r="78" spans="1:9" s="6" customFormat="1" ht="16" customHeight="1" x14ac:dyDescent="0.4">
      <c r="A78" s="20" t="s">
        <v>138</v>
      </c>
      <c r="B78" s="20" t="s">
        <v>85</v>
      </c>
      <c r="C78" s="21">
        <v>2</v>
      </c>
      <c r="D78" s="21">
        <v>1</v>
      </c>
      <c r="E78" s="21">
        <f t="shared" si="10"/>
        <v>3</v>
      </c>
      <c r="F78" s="15" t="s">
        <v>118</v>
      </c>
      <c r="G78" s="1"/>
      <c r="H78" s="4"/>
      <c r="I78" s="4"/>
    </row>
    <row r="79" spans="1:9" s="6" customFormat="1" ht="16" customHeight="1" x14ac:dyDescent="0.4">
      <c r="A79" s="15" t="s">
        <v>88</v>
      </c>
      <c r="B79" s="15" t="s">
        <v>89</v>
      </c>
      <c r="C79" s="16">
        <v>3</v>
      </c>
      <c r="D79" s="16">
        <v>0</v>
      </c>
      <c r="E79" s="21">
        <f t="shared" si="10"/>
        <v>3</v>
      </c>
      <c r="F79" s="15" t="s">
        <v>118</v>
      </c>
      <c r="G79" s="1"/>
      <c r="H79" s="4"/>
      <c r="I79" s="4"/>
    </row>
    <row r="80" spans="1:9" s="4" customFormat="1" ht="16" customHeight="1" x14ac:dyDescent="0.4">
      <c r="A80" s="15"/>
      <c r="B80" s="15"/>
      <c r="C80" s="102" t="s">
        <v>24</v>
      </c>
      <c r="D80" s="102"/>
      <c r="E80" s="29">
        <f>SUM(E74:E79)</f>
        <v>18</v>
      </c>
      <c r="F80" s="15"/>
      <c r="G80" s="1"/>
    </row>
    <row r="81" spans="1:9" s="4" customFormat="1" ht="14.5" customHeight="1" x14ac:dyDescent="0.4">
      <c r="A81" s="110" t="s">
        <v>90</v>
      </c>
      <c r="B81" s="110"/>
      <c r="C81" s="110"/>
      <c r="D81" s="110"/>
      <c r="E81" s="110"/>
      <c r="F81" s="110"/>
      <c r="G81" s="1"/>
    </row>
    <row r="82" spans="1:9" s="12" customFormat="1" ht="16" customHeight="1" x14ac:dyDescent="0.4">
      <c r="A82" s="20" t="s">
        <v>139</v>
      </c>
      <c r="B82" s="20" t="s">
        <v>100</v>
      </c>
      <c r="C82" s="21">
        <v>6</v>
      </c>
      <c r="D82" s="21">
        <v>0</v>
      </c>
      <c r="E82" s="21">
        <v>6</v>
      </c>
      <c r="F82" s="20" t="s">
        <v>106</v>
      </c>
      <c r="G82" s="1"/>
      <c r="H82" s="4"/>
      <c r="I82" s="4"/>
    </row>
    <row r="83" spans="1:9" s="4" customFormat="1" ht="14.5" customHeight="1" x14ac:dyDescent="0.4">
      <c r="A83" s="20"/>
      <c r="B83" s="20"/>
      <c r="C83" s="111" t="s">
        <v>24</v>
      </c>
      <c r="D83" s="111"/>
      <c r="E83" s="30">
        <f>SUM(E82)</f>
        <v>6</v>
      </c>
      <c r="F83" s="20"/>
      <c r="G83" s="1"/>
    </row>
    <row r="84" spans="1:9" s="4" customFormat="1" ht="14.5" customHeight="1" x14ac:dyDescent="0.4">
      <c r="A84" s="107" t="s">
        <v>91</v>
      </c>
      <c r="B84" s="108"/>
      <c r="C84" s="108"/>
      <c r="D84" s="108"/>
      <c r="E84" s="108"/>
      <c r="F84" s="109"/>
      <c r="G84" s="1"/>
    </row>
    <row r="85" spans="1:9" s="4" customFormat="1" ht="16" customHeight="1" x14ac:dyDescent="0.4">
      <c r="A85" s="20" t="s">
        <v>186</v>
      </c>
      <c r="B85" s="20" t="s">
        <v>187</v>
      </c>
      <c r="C85" s="21">
        <v>2</v>
      </c>
      <c r="D85" s="21">
        <v>1</v>
      </c>
      <c r="E85" s="21">
        <v>3</v>
      </c>
      <c r="F85" s="20" t="s">
        <v>118</v>
      </c>
      <c r="G85" s="1"/>
    </row>
    <row r="86" spans="1:9" s="4" customFormat="1" ht="16" customHeight="1" x14ac:dyDescent="0.4">
      <c r="A86" s="20" t="s">
        <v>97</v>
      </c>
      <c r="B86" s="20" t="s">
        <v>98</v>
      </c>
      <c r="C86" s="21">
        <v>2</v>
      </c>
      <c r="D86" s="21">
        <v>1</v>
      </c>
      <c r="E86" s="21">
        <v>3</v>
      </c>
      <c r="F86" s="20" t="s">
        <v>118</v>
      </c>
      <c r="G86" s="1"/>
    </row>
    <row r="87" spans="1:9" s="4" customFormat="1" ht="16" customHeight="1" x14ac:dyDescent="0.4">
      <c r="A87" s="20" t="s">
        <v>92</v>
      </c>
      <c r="B87" s="20" t="s">
        <v>93</v>
      </c>
      <c r="C87" s="21">
        <v>2</v>
      </c>
      <c r="D87" s="21">
        <v>1</v>
      </c>
      <c r="E87" s="21">
        <v>3</v>
      </c>
      <c r="F87" s="20" t="s">
        <v>118</v>
      </c>
      <c r="G87" s="1"/>
    </row>
    <row r="88" spans="1:9" s="4" customFormat="1" ht="16" customHeight="1" x14ac:dyDescent="0.4">
      <c r="A88" s="20" t="s">
        <v>95</v>
      </c>
      <c r="B88" s="20" t="s">
        <v>96</v>
      </c>
      <c r="C88" s="21">
        <v>2</v>
      </c>
      <c r="D88" s="21">
        <v>1</v>
      </c>
      <c r="E88" s="21">
        <v>3</v>
      </c>
      <c r="F88" s="20" t="s">
        <v>118</v>
      </c>
      <c r="G88" s="1"/>
    </row>
    <row r="89" spans="1:9" s="4" customFormat="1" ht="14.5" customHeight="1" x14ac:dyDescent="0.4">
      <c r="A89" s="107" t="s">
        <v>107</v>
      </c>
      <c r="B89" s="108"/>
      <c r="C89" s="108"/>
      <c r="D89" s="108"/>
      <c r="E89" s="108"/>
      <c r="F89" s="109"/>
      <c r="G89" s="1"/>
    </row>
    <row r="90" spans="1:9" s="4" customFormat="1" ht="16" customHeight="1" x14ac:dyDescent="0.4">
      <c r="A90" s="20" t="s">
        <v>146</v>
      </c>
      <c r="B90" s="20" t="s">
        <v>33</v>
      </c>
      <c r="C90" s="21">
        <v>3</v>
      </c>
      <c r="D90" s="21">
        <v>0</v>
      </c>
      <c r="E90" s="21">
        <v>3</v>
      </c>
      <c r="F90" s="20" t="s">
        <v>20</v>
      </c>
      <c r="G90" s="1"/>
    </row>
    <row r="91" spans="1:9" s="4" customFormat="1" ht="16" customHeight="1" x14ac:dyDescent="0.4">
      <c r="A91" s="20" t="s">
        <v>154</v>
      </c>
      <c r="B91" s="20" t="s">
        <v>175</v>
      </c>
      <c r="C91" s="21">
        <v>3</v>
      </c>
      <c r="D91" s="21">
        <v>0</v>
      </c>
      <c r="E91" s="21">
        <v>3</v>
      </c>
      <c r="F91" s="20" t="s">
        <v>146</v>
      </c>
      <c r="G91" s="1"/>
    </row>
    <row r="92" spans="1:9" s="4" customFormat="1" ht="16" customHeight="1" x14ac:dyDescent="0.4">
      <c r="A92" s="20" t="s">
        <v>155</v>
      </c>
      <c r="B92" s="20" t="s">
        <v>54</v>
      </c>
      <c r="C92" s="21">
        <v>3</v>
      </c>
      <c r="D92" s="21">
        <v>0</v>
      </c>
      <c r="E92" s="21">
        <v>3</v>
      </c>
      <c r="F92" s="20" t="s">
        <v>146</v>
      </c>
      <c r="G92" s="1"/>
    </row>
    <row r="93" spans="1:9" s="4" customFormat="1" ht="14.5" customHeight="1" x14ac:dyDescent="0.4">
      <c r="A93" s="107" t="s">
        <v>210</v>
      </c>
      <c r="B93" s="108"/>
      <c r="C93" s="108"/>
      <c r="D93" s="108"/>
      <c r="E93" s="108"/>
      <c r="F93" s="109"/>
      <c r="G93" s="1"/>
    </row>
    <row r="94" spans="1:9" s="4" customFormat="1" ht="16" customHeight="1" x14ac:dyDescent="0.4">
      <c r="A94" s="20" t="s">
        <v>194</v>
      </c>
      <c r="B94" s="20" t="s">
        <v>28</v>
      </c>
      <c r="C94" s="21">
        <v>3</v>
      </c>
      <c r="D94" s="21">
        <v>0</v>
      </c>
      <c r="E94" s="21">
        <v>3</v>
      </c>
      <c r="F94" s="20" t="s">
        <v>18</v>
      </c>
      <c r="G94" s="1"/>
    </row>
    <row r="95" spans="1:9" s="4" customFormat="1" ht="16" customHeight="1" x14ac:dyDescent="0.4">
      <c r="A95" s="20" t="s">
        <v>197</v>
      </c>
      <c r="B95" s="20" t="s">
        <v>206</v>
      </c>
      <c r="C95" s="21">
        <v>3</v>
      </c>
      <c r="D95" s="21">
        <v>0</v>
      </c>
      <c r="E95" s="21">
        <v>3</v>
      </c>
      <c r="F95" s="20" t="s">
        <v>18</v>
      </c>
      <c r="G95" s="1"/>
    </row>
    <row r="96" spans="1:9" s="4" customFormat="1" ht="14.5" customHeight="1" x14ac:dyDescent="0.4">
      <c r="A96" s="107" t="s">
        <v>99</v>
      </c>
      <c r="B96" s="108"/>
      <c r="C96" s="108"/>
      <c r="D96" s="108"/>
      <c r="E96" s="108"/>
      <c r="F96" s="109"/>
      <c r="G96" s="1"/>
    </row>
    <row r="97" spans="1:7" s="4" customFormat="1" ht="16" customHeight="1" x14ac:dyDescent="0.4">
      <c r="A97" s="20" t="s">
        <v>55</v>
      </c>
      <c r="B97" s="20" t="s">
        <v>56</v>
      </c>
      <c r="C97" s="21">
        <v>3</v>
      </c>
      <c r="D97" s="21">
        <v>0</v>
      </c>
      <c r="E97" s="21" t="s">
        <v>23</v>
      </c>
      <c r="F97" s="20" t="s">
        <v>118</v>
      </c>
      <c r="G97" s="1"/>
    </row>
    <row r="98" spans="1:7" s="4" customFormat="1" ht="14.5" customHeight="1" x14ac:dyDescent="0.4">
      <c r="A98" s="1"/>
      <c r="B98" s="1"/>
      <c r="C98" s="3"/>
      <c r="D98" s="3"/>
      <c r="E98" s="3"/>
      <c r="F98" s="1"/>
      <c r="G98" s="1"/>
    </row>
    <row r="99" spans="1:7" s="4" customFormat="1" ht="14.5" customHeight="1" x14ac:dyDescent="0.4">
      <c r="A99" s="1"/>
      <c r="B99" s="15" t="s">
        <v>109</v>
      </c>
      <c r="C99" s="29"/>
      <c r="D99" s="3"/>
      <c r="E99" s="3"/>
      <c r="F99" s="1"/>
      <c r="G99" s="1"/>
    </row>
    <row r="100" spans="1:7" s="4" customFormat="1" ht="14.5" customHeight="1" x14ac:dyDescent="0.4">
      <c r="A100" s="1"/>
      <c r="B100" s="22" t="s">
        <v>121</v>
      </c>
      <c r="C100" s="16">
        <v>27</v>
      </c>
      <c r="D100" s="3"/>
      <c r="E100" s="3"/>
      <c r="F100" s="1"/>
      <c r="G100" s="1"/>
    </row>
    <row r="101" spans="1:7" s="4" customFormat="1" ht="14.5" customHeight="1" x14ac:dyDescent="0.4">
      <c r="A101" s="1"/>
      <c r="B101" s="22" t="s">
        <v>211</v>
      </c>
      <c r="C101" s="16">
        <v>6</v>
      </c>
      <c r="D101" s="3"/>
      <c r="E101" s="3"/>
      <c r="F101" s="1"/>
      <c r="G101" s="1"/>
    </row>
    <row r="102" spans="1:7" s="4" customFormat="1" ht="14.5" customHeight="1" x14ac:dyDescent="0.4">
      <c r="A102" s="1"/>
      <c r="B102" s="22" t="s">
        <v>212</v>
      </c>
      <c r="C102" s="16">
        <v>6</v>
      </c>
      <c r="D102" s="3"/>
      <c r="E102" s="3"/>
      <c r="F102" s="1" t="s">
        <v>120</v>
      </c>
      <c r="G102" s="1"/>
    </row>
    <row r="103" spans="1:7" s="4" customFormat="1" ht="14.5" customHeight="1" x14ac:dyDescent="0.4">
      <c r="A103" s="1"/>
      <c r="B103" s="22" t="s">
        <v>110</v>
      </c>
      <c r="C103" s="16">
        <v>8</v>
      </c>
      <c r="D103" s="3"/>
      <c r="E103" s="3"/>
      <c r="F103" s="1"/>
      <c r="G103" s="1"/>
    </row>
    <row r="104" spans="1:7" s="4" customFormat="1" ht="14.5" customHeight="1" x14ac:dyDescent="0.4">
      <c r="A104" s="1"/>
      <c r="B104" s="22" t="s">
        <v>114</v>
      </c>
      <c r="C104" s="16">
        <v>9</v>
      </c>
      <c r="D104" s="3"/>
      <c r="E104" s="3"/>
      <c r="F104" s="1"/>
      <c r="G104" s="1"/>
    </row>
    <row r="105" spans="1:7" s="4" customFormat="1" ht="14.5" customHeight="1" x14ac:dyDescent="0.4">
      <c r="A105" s="1"/>
      <c r="B105" s="15" t="s">
        <v>116</v>
      </c>
      <c r="C105" s="19" t="s">
        <v>117</v>
      </c>
      <c r="D105" s="3"/>
      <c r="E105" s="3"/>
      <c r="F105" s="1"/>
      <c r="G105" s="1"/>
    </row>
    <row r="106" spans="1:7" s="4" customFormat="1" ht="14.5" customHeight="1" x14ac:dyDescent="0.4">
      <c r="A106" s="1"/>
      <c r="B106" s="15" t="s">
        <v>108</v>
      </c>
      <c r="C106" s="16">
        <v>18</v>
      </c>
      <c r="D106" s="3"/>
      <c r="E106" s="3"/>
      <c r="F106" s="1"/>
      <c r="G106" s="1"/>
    </row>
    <row r="107" spans="1:7" s="4" customFormat="1" ht="14.5" customHeight="1" x14ac:dyDescent="0.4">
      <c r="A107" s="1"/>
      <c r="B107" s="15" t="s">
        <v>111</v>
      </c>
      <c r="C107" s="16">
        <v>54</v>
      </c>
      <c r="D107" s="3"/>
      <c r="E107" s="3"/>
      <c r="F107" s="1"/>
      <c r="G107" s="1"/>
    </row>
    <row r="108" spans="1:7" s="4" customFormat="1" ht="14.5" customHeight="1" x14ac:dyDescent="0.4">
      <c r="A108" s="1"/>
      <c r="B108" s="15" t="s">
        <v>113</v>
      </c>
      <c r="C108" s="16">
        <v>30</v>
      </c>
      <c r="D108" s="3"/>
      <c r="E108" s="3"/>
      <c r="F108" s="1"/>
      <c r="G108" s="1"/>
    </row>
    <row r="109" spans="1:7" s="4" customFormat="1" ht="14.5" customHeight="1" x14ac:dyDescent="0.4">
      <c r="A109" s="1"/>
      <c r="B109" s="15" t="s">
        <v>112</v>
      </c>
      <c r="C109" s="16">
        <v>9</v>
      </c>
      <c r="D109" s="3"/>
      <c r="E109" s="3"/>
      <c r="F109" s="1"/>
      <c r="G109" s="1"/>
    </row>
    <row r="110" spans="1:7" s="4" customFormat="1" ht="14.5" customHeight="1" x14ac:dyDescent="0.4">
      <c r="A110" s="1"/>
      <c r="B110" s="15" t="s">
        <v>115</v>
      </c>
      <c r="C110" s="19" t="s">
        <v>23</v>
      </c>
      <c r="D110" s="3"/>
      <c r="E110" s="3"/>
      <c r="F110" s="1"/>
      <c r="G110" s="1"/>
    </row>
    <row r="111" spans="1:7" s="4" customFormat="1" ht="14.5" customHeight="1" x14ac:dyDescent="0.4">
      <c r="A111" s="1"/>
      <c r="B111" s="23" t="s">
        <v>119</v>
      </c>
      <c r="C111" s="29">
        <f>SUM(C100:C110)</f>
        <v>167</v>
      </c>
      <c r="D111" s="3"/>
      <c r="E111" s="42">
        <f>SUM(E17,E28,E38,E48,E58,E67,E72,E80,E83)</f>
        <v>167</v>
      </c>
      <c r="F111" s="1"/>
      <c r="G111" s="1"/>
    </row>
    <row r="112" spans="1:7" s="4" customFormat="1" ht="14.5" customHeight="1" x14ac:dyDescent="0.4">
      <c r="A112" s="1"/>
      <c r="B112" s="1"/>
      <c r="C112" s="3"/>
      <c r="D112" s="3"/>
      <c r="E112" s="3"/>
      <c r="F112" s="1"/>
      <c r="G112" s="1"/>
    </row>
    <row r="113" spans="1:7" s="4" customFormat="1" ht="14.5" customHeight="1" x14ac:dyDescent="0.4">
      <c r="A113" s="1" t="s">
        <v>123</v>
      </c>
      <c r="B113" s="1"/>
      <c r="D113" s="3"/>
      <c r="E113" s="3"/>
      <c r="F113" s="1"/>
      <c r="G113" s="1"/>
    </row>
    <row r="114" spans="1:7" s="4" customFormat="1" ht="14.5" customHeight="1" x14ac:dyDescent="0.4">
      <c r="A114" s="1"/>
      <c r="B114" s="1"/>
      <c r="D114" s="3"/>
      <c r="E114" s="3"/>
      <c r="F114" s="1"/>
      <c r="G114" s="1"/>
    </row>
    <row r="115" spans="1:7" ht="14.5" customHeight="1" x14ac:dyDescent="0.4">
      <c r="A115" s="25" t="s">
        <v>127</v>
      </c>
      <c r="C115" s="25" t="s">
        <v>125</v>
      </c>
    </row>
    <row r="116" spans="1:7" ht="14.5" customHeight="1" x14ac:dyDescent="0.4">
      <c r="A116" s="1" t="s">
        <v>124</v>
      </c>
      <c r="C116" s="1" t="s">
        <v>126</v>
      </c>
    </row>
    <row r="117" spans="1:7" ht="14.5" customHeight="1" x14ac:dyDescent="0.4">
      <c r="C117" s="1"/>
    </row>
    <row r="118" spans="1:7" ht="14.5" customHeight="1" x14ac:dyDescent="0.4">
      <c r="C118" s="1"/>
    </row>
    <row r="119" spans="1:7" ht="14.5" customHeight="1" x14ac:dyDescent="0.4">
      <c r="A119" s="24" t="s">
        <v>128</v>
      </c>
    </row>
    <row r="120" spans="1:7" ht="14.5" customHeight="1" x14ac:dyDescent="0.4">
      <c r="A120" s="3"/>
      <c r="C120" s="1"/>
    </row>
    <row r="121" spans="1:7" ht="14.5" customHeight="1" x14ac:dyDescent="0.4">
      <c r="A121" s="26" t="s">
        <v>129</v>
      </c>
    </row>
    <row r="122" spans="1:7" ht="14.5" customHeight="1" x14ac:dyDescent="0.4">
      <c r="A122" s="1" t="s">
        <v>130</v>
      </c>
    </row>
    <row r="124" spans="1:7" ht="14.5" customHeight="1" x14ac:dyDescent="0.4">
      <c r="A124" s="24" t="s">
        <v>156</v>
      </c>
      <c r="B124" s="4"/>
      <c r="C124" s="13"/>
      <c r="D124" s="13"/>
      <c r="E124" s="13"/>
      <c r="F124" s="4"/>
    </row>
    <row r="125" spans="1:7" ht="14.5" customHeight="1" x14ac:dyDescent="0.4">
      <c r="C125" s="1"/>
      <c r="D125" s="1"/>
      <c r="E125" s="13"/>
      <c r="F125" s="4"/>
    </row>
    <row r="126" spans="1:7" ht="14.5" customHeight="1" x14ac:dyDescent="0.4">
      <c r="A126" s="25" t="s">
        <v>132</v>
      </c>
      <c r="C126" s="1"/>
      <c r="D126" s="1"/>
      <c r="E126" s="13"/>
      <c r="F126" s="4"/>
    </row>
    <row r="127" spans="1:7" ht="14.5" customHeight="1" x14ac:dyDescent="0.4">
      <c r="A127" s="1" t="s">
        <v>133</v>
      </c>
      <c r="C127" s="1"/>
      <c r="D127" s="1"/>
      <c r="E127" s="13"/>
      <c r="F127" s="4"/>
    </row>
    <row r="128" spans="1:7" ht="14.5" customHeight="1" x14ac:dyDescent="0.4">
      <c r="B128" s="4"/>
      <c r="C128" s="13"/>
      <c r="D128" s="13"/>
      <c r="E128" s="13"/>
      <c r="F128" s="4"/>
    </row>
    <row r="129" spans="1:6" ht="14.5" customHeight="1" x14ac:dyDescent="0.4">
      <c r="B129" s="4"/>
      <c r="C129" s="13"/>
      <c r="D129" s="13"/>
      <c r="E129" s="13"/>
      <c r="F129" s="4"/>
    </row>
    <row r="130" spans="1:6" ht="14.5" customHeight="1" x14ac:dyDescent="0.4">
      <c r="A130" s="4"/>
      <c r="B130" s="4"/>
      <c r="C130" s="13"/>
      <c r="D130" s="13"/>
      <c r="E130" s="13"/>
      <c r="F130" s="4"/>
    </row>
    <row r="131" spans="1:6" ht="14.5" customHeight="1" x14ac:dyDescent="0.4">
      <c r="A131" s="112" t="s">
        <v>214</v>
      </c>
      <c r="B131" s="112"/>
      <c r="C131" s="112"/>
      <c r="D131" s="112"/>
      <c r="E131" s="13"/>
      <c r="F131" s="4"/>
    </row>
    <row r="132" spans="1:6" ht="14.5" customHeight="1" x14ac:dyDescent="0.4">
      <c r="A132" s="112" t="s">
        <v>216</v>
      </c>
      <c r="B132" s="112"/>
      <c r="C132" s="112"/>
      <c r="D132" s="112"/>
      <c r="E132" s="13"/>
      <c r="F132" s="4"/>
    </row>
    <row r="133" spans="1:6" ht="14.5" customHeight="1" x14ac:dyDescent="0.4">
      <c r="A133" s="112" t="s">
        <v>215</v>
      </c>
      <c r="B133" s="112"/>
      <c r="C133" s="112"/>
      <c r="D133" s="112"/>
      <c r="E133" s="13"/>
      <c r="F133" s="4"/>
    </row>
    <row r="134" spans="1:6" ht="14.5" customHeight="1" x14ac:dyDescent="0.4">
      <c r="A134" s="4"/>
      <c r="B134" s="4"/>
      <c r="C134" s="13"/>
      <c r="D134" s="13"/>
      <c r="E134" s="13"/>
      <c r="F134" s="4"/>
    </row>
    <row r="135" spans="1:6" ht="14.5" customHeight="1" x14ac:dyDescent="0.4">
      <c r="A135" s="4"/>
      <c r="B135" s="4"/>
      <c r="C135" s="13"/>
      <c r="D135" s="13"/>
      <c r="E135" s="13"/>
      <c r="F135" s="4"/>
    </row>
    <row r="136" spans="1:6" ht="14.5" customHeight="1" x14ac:dyDescent="0.4">
      <c r="A136" s="4"/>
      <c r="B136" s="4"/>
      <c r="C136" s="13"/>
      <c r="D136" s="13"/>
      <c r="E136" s="13"/>
      <c r="F136" s="4"/>
    </row>
  </sheetData>
  <mergeCells count="29">
    <mergeCell ref="A93:F93"/>
    <mergeCell ref="A96:F96"/>
    <mergeCell ref="A131:D131"/>
    <mergeCell ref="A132:D132"/>
    <mergeCell ref="A133:D133"/>
    <mergeCell ref="A89:F89"/>
    <mergeCell ref="A49:F49"/>
    <mergeCell ref="C58:D58"/>
    <mergeCell ref="A59:F59"/>
    <mergeCell ref="C67:D67"/>
    <mergeCell ref="A68:F68"/>
    <mergeCell ref="C72:D72"/>
    <mergeCell ref="A73:F73"/>
    <mergeCell ref="C80:D80"/>
    <mergeCell ref="A81:F81"/>
    <mergeCell ref="C83:D83"/>
    <mergeCell ref="A84:F84"/>
    <mergeCell ref="C48:D48"/>
    <mergeCell ref="A1:F1"/>
    <mergeCell ref="A2:F2"/>
    <mergeCell ref="A3:F3"/>
    <mergeCell ref="A4:F4"/>
    <mergeCell ref="A7:F7"/>
    <mergeCell ref="C17:D17"/>
    <mergeCell ref="A18:F18"/>
    <mergeCell ref="C28:D28"/>
    <mergeCell ref="A29:F29"/>
    <mergeCell ref="C38:D38"/>
    <mergeCell ref="A39:F39"/>
  </mergeCells>
  <printOptions horizontalCentered="1"/>
  <pageMargins left="0.6692913385826772" right="0.51181102362204722" top="0.27559055118110237" bottom="0.27559055118110237" header="0.31496062992125984" footer="0.31496062992125984"/>
  <pageSetup paperSize="256" scale="85" fitToWidth="0" fitToHeight="0" orientation="portrait" r:id="rId1"/>
  <rowBreaks count="1" manualBreakCount="1">
    <brk id="67" max="5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36"/>
  <sheetViews>
    <sheetView view="pageBreakPreview" topLeftCell="A40" zoomScale="145" zoomScaleNormal="130" zoomScaleSheetLayoutView="145" workbookViewId="0">
      <selection activeCell="A49" sqref="A49:F49"/>
    </sheetView>
  </sheetViews>
  <sheetFormatPr defaultColWidth="8.84375" defaultRowHeight="14.5" customHeight="1" x14ac:dyDescent="0.4"/>
  <cols>
    <col min="1" max="1" width="15.69140625" style="1" customWidth="1"/>
    <col min="2" max="2" width="53.3046875" style="1" customWidth="1"/>
    <col min="3" max="4" width="6.69140625" style="3" customWidth="1"/>
    <col min="5" max="5" width="10" style="3" customWidth="1"/>
    <col min="6" max="6" width="16.53515625" style="1" customWidth="1"/>
    <col min="7" max="16384" width="8.84375" style="1"/>
  </cols>
  <sheetData>
    <row r="1" spans="1:9" ht="19.95" customHeight="1" x14ac:dyDescent="0.4">
      <c r="A1" s="103" t="s">
        <v>0</v>
      </c>
      <c r="B1" s="103"/>
      <c r="C1" s="103"/>
      <c r="D1" s="103"/>
      <c r="E1" s="103"/>
      <c r="F1" s="103"/>
    </row>
    <row r="2" spans="1:9" ht="14.5" customHeight="1" x14ac:dyDescent="0.4">
      <c r="A2" s="104" t="s">
        <v>1</v>
      </c>
      <c r="B2" s="104"/>
      <c r="C2" s="104"/>
      <c r="D2" s="104"/>
      <c r="E2" s="104"/>
      <c r="F2" s="104"/>
      <c r="G2" s="25"/>
    </row>
    <row r="3" spans="1:9" ht="14.5" customHeight="1" x14ac:dyDescent="0.4">
      <c r="A3" s="104" t="s">
        <v>2</v>
      </c>
      <c r="B3" s="104"/>
      <c r="C3" s="104"/>
      <c r="D3" s="104"/>
      <c r="E3" s="104"/>
      <c r="F3" s="104"/>
    </row>
    <row r="4" spans="1:9" ht="14.5" customHeight="1" x14ac:dyDescent="0.4">
      <c r="A4" s="105" t="s">
        <v>213</v>
      </c>
      <c r="B4" s="104"/>
      <c r="C4" s="104"/>
      <c r="D4" s="104"/>
      <c r="E4" s="104"/>
      <c r="F4" s="104"/>
    </row>
    <row r="5" spans="1:9" ht="14.5" customHeight="1" x14ac:dyDescent="0.4">
      <c r="A5" s="44"/>
      <c r="B5" s="43"/>
      <c r="C5" s="43"/>
      <c r="D5" s="43"/>
      <c r="E5" s="43"/>
      <c r="F5" s="43"/>
    </row>
    <row r="6" spans="1:9" s="4" customFormat="1" ht="28.95" customHeight="1" x14ac:dyDescent="0.4">
      <c r="A6" s="14" t="s">
        <v>3</v>
      </c>
      <c r="B6" s="14" t="s">
        <v>4</v>
      </c>
      <c r="C6" s="14" t="s">
        <v>5</v>
      </c>
      <c r="D6" s="14" t="s">
        <v>6</v>
      </c>
      <c r="E6" s="14" t="s">
        <v>7</v>
      </c>
      <c r="F6" s="14" t="s">
        <v>8</v>
      </c>
      <c r="G6" s="1"/>
    </row>
    <row r="7" spans="1:9" s="4" customFormat="1" ht="14.5" customHeight="1" x14ac:dyDescent="0.4">
      <c r="A7" s="106" t="s">
        <v>9</v>
      </c>
      <c r="B7" s="106"/>
      <c r="C7" s="106"/>
      <c r="D7" s="106"/>
      <c r="E7" s="106"/>
      <c r="F7" s="106"/>
      <c r="G7" s="1"/>
    </row>
    <row r="8" spans="1:9" s="5" customFormat="1" ht="16" customHeight="1" x14ac:dyDescent="0.4">
      <c r="A8" s="20" t="s">
        <v>10</v>
      </c>
      <c r="B8" s="20" t="s">
        <v>11</v>
      </c>
      <c r="C8" s="21">
        <v>2</v>
      </c>
      <c r="D8" s="21">
        <v>1</v>
      </c>
      <c r="E8" s="21">
        <v>3</v>
      </c>
      <c r="F8" s="20" t="s">
        <v>118</v>
      </c>
      <c r="G8" s="1"/>
      <c r="H8" s="4"/>
      <c r="I8" s="4"/>
    </row>
    <row r="9" spans="1:9" s="5" customFormat="1" ht="16" customHeight="1" x14ac:dyDescent="0.4">
      <c r="A9" s="20" t="s">
        <v>12</v>
      </c>
      <c r="B9" s="20" t="s">
        <v>13</v>
      </c>
      <c r="C9" s="21">
        <v>2</v>
      </c>
      <c r="D9" s="21">
        <v>1</v>
      </c>
      <c r="E9" s="21">
        <v>3</v>
      </c>
      <c r="F9" s="20" t="s">
        <v>118</v>
      </c>
      <c r="G9" s="1"/>
    </row>
    <row r="10" spans="1:9" s="5" customFormat="1" ht="16" customHeight="1" x14ac:dyDescent="0.4">
      <c r="A10" s="20" t="s">
        <v>40</v>
      </c>
      <c r="B10" s="20" t="s">
        <v>41</v>
      </c>
      <c r="C10" s="21">
        <v>2</v>
      </c>
      <c r="D10" s="21">
        <v>1</v>
      </c>
      <c r="E10" s="21">
        <v>3</v>
      </c>
      <c r="F10" s="20" t="s">
        <v>118</v>
      </c>
      <c r="G10" s="1"/>
      <c r="H10" s="4"/>
      <c r="I10" s="4"/>
    </row>
    <row r="11" spans="1:9" s="4" customFormat="1" ht="16" customHeight="1" x14ac:dyDescent="0.4">
      <c r="A11" s="15" t="s">
        <v>14</v>
      </c>
      <c r="B11" s="15" t="s">
        <v>15</v>
      </c>
      <c r="C11" s="16">
        <v>3</v>
      </c>
      <c r="D11" s="16">
        <v>0</v>
      </c>
      <c r="E11" s="16">
        <f t="shared" ref="E11:E14" si="0">SUM(C11:D11)</f>
        <v>3</v>
      </c>
      <c r="F11" s="15" t="s">
        <v>118</v>
      </c>
      <c r="G11" s="1"/>
    </row>
    <row r="12" spans="1:9" s="50" customFormat="1" ht="16" customHeight="1" x14ac:dyDescent="0.4">
      <c r="A12" s="46" t="s">
        <v>182</v>
      </c>
      <c r="B12" s="46" t="s">
        <v>183</v>
      </c>
      <c r="C12" s="47">
        <v>3</v>
      </c>
      <c r="D12" s="47">
        <v>0</v>
      </c>
      <c r="E12" s="47">
        <f t="shared" si="0"/>
        <v>3</v>
      </c>
      <c r="F12" s="46" t="s">
        <v>118</v>
      </c>
      <c r="G12" s="48"/>
      <c r="H12" s="49"/>
      <c r="I12" s="49"/>
    </row>
    <row r="13" spans="1:9" s="4" customFormat="1" ht="16" customHeight="1" x14ac:dyDescent="0.4">
      <c r="A13" s="15" t="s">
        <v>18</v>
      </c>
      <c r="B13" s="15" t="s">
        <v>19</v>
      </c>
      <c r="C13" s="16">
        <v>3</v>
      </c>
      <c r="D13" s="16">
        <v>0</v>
      </c>
      <c r="E13" s="16">
        <f t="shared" si="0"/>
        <v>3</v>
      </c>
      <c r="F13" s="15" t="s">
        <v>118</v>
      </c>
      <c r="G13" s="1"/>
    </row>
    <row r="14" spans="1:9" s="4" customFormat="1" ht="16" customHeight="1" x14ac:dyDescent="0.4">
      <c r="A14" s="15" t="s">
        <v>20</v>
      </c>
      <c r="B14" s="15" t="s">
        <v>21</v>
      </c>
      <c r="C14" s="16">
        <v>3</v>
      </c>
      <c r="D14" s="16">
        <v>0</v>
      </c>
      <c r="E14" s="16">
        <f t="shared" si="0"/>
        <v>3</v>
      </c>
      <c r="F14" s="15" t="s">
        <v>118</v>
      </c>
      <c r="G14" s="1"/>
    </row>
    <row r="15" spans="1:9" s="52" customFormat="1" ht="16" customHeight="1" x14ac:dyDescent="0.4">
      <c r="A15" s="46" t="s">
        <v>105</v>
      </c>
      <c r="B15" s="46" t="s">
        <v>198</v>
      </c>
      <c r="C15" s="47">
        <v>2</v>
      </c>
      <c r="D15" s="47">
        <v>0</v>
      </c>
      <c r="E15" s="47">
        <v>2</v>
      </c>
      <c r="F15" s="46" t="s">
        <v>118</v>
      </c>
      <c r="G15" s="48"/>
      <c r="H15" s="49"/>
      <c r="I15" s="49"/>
    </row>
    <row r="16" spans="1:9" s="8" customFormat="1" ht="16" customHeight="1" x14ac:dyDescent="0.4">
      <c r="A16" s="15" t="s">
        <v>22</v>
      </c>
      <c r="B16" s="17" t="s">
        <v>101</v>
      </c>
      <c r="C16" s="18" t="s">
        <v>23</v>
      </c>
      <c r="D16" s="16">
        <v>0</v>
      </c>
      <c r="E16" s="18" t="s">
        <v>23</v>
      </c>
      <c r="F16" s="15" t="s">
        <v>118</v>
      </c>
      <c r="G16" s="1"/>
      <c r="H16" s="4"/>
      <c r="I16" s="4"/>
    </row>
    <row r="17" spans="1:9" s="4" customFormat="1" ht="14.5" customHeight="1" x14ac:dyDescent="0.4">
      <c r="A17" s="15"/>
      <c r="B17" s="15"/>
      <c r="C17" s="102" t="s">
        <v>24</v>
      </c>
      <c r="D17" s="102"/>
      <c r="E17" s="29">
        <f>SUM(E8:E16)</f>
        <v>23</v>
      </c>
      <c r="F17" s="15"/>
      <c r="G17" s="1"/>
    </row>
    <row r="18" spans="1:9" s="4" customFormat="1" ht="14.5" customHeight="1" x14ac:dyDescent="0.4">
      <c r="A18" s="106" t="s">
        <v>25</v>
      </c>
      <c r="B18" s="106"/>
      <c r="C18" s="106"/>
      <c r="D18" s="106"/>
      <c r="E18" s="106"/>
      <c r="F18" s="106"/>
      <c r="G18" s="1"/>
    </row>
    <row r="19" spans="1:9" s="5" customFormat="1" ht="16" customHeight="1" x14ac:dyDescent="0.4">
      <c r="A19" s="20" t="s">
        <v>26</v>
      </c>
      <c r="B19" s="20" t="s">
        <v>27</v>
      </c>
      <c r="C19" s="21">
        <v>2</v>
      </c>
      <c r="D19" s="21">
        <v>1</v>
      </c>
      <c r="E19" s="21">
        <v>3</v>
      </c>
      <c r="F19" s="20" t="s">
        <v>12</v>
      </c>
      <c r="G19" s="1"/>
      <c r="H19" s="4"/>
      <c r="I19" s="4"/>
    </row>
    <row r="20" spans="1:9" s="5" customFormat="1" ht="16" customHeight="1" x14ac:dyDescent="0.4">
      <c r="A20" s="20" t="s">
        <v>38</v>
      </c>
      <c r="B20" s="20" t="s">
        <v>39</v>
      </c>
      <c r="C20" s="21">
        <v>2</v>
      </c>
      <c r="D20" s="21">
        <v>1</v>
      </c>
      <c r="E20" s="21">
        <v>3</v>
      </c>
      <c r="F20" s="20" t="s">
        <v>26</v>
      </c>
      <c r="G20" s="1"/>
      <c r="H20" s="4"/>
      <c r="I20" s="4"/>
    </row>
    <row r="21" spans="1:9" s="10" customFormat="1" ht="16" customHeight="1" x14ac:dyDescent="0.4">
      <c r="A21" s="15" t="s">
        <v>29</v>
      </c>
      <c r="B21" s="15" t="s">
        <v>30</v>
      </c>
      <c r="C21" s="16">
        <v>3</v>
      </c>
      <c r="D21" s="16">
        <v>0</v>
      </c>
      <c r="E21" s="16">
        <f t="shared" ref="E21" si="1">SUM(C21:D21)</f>
        <v>3</v>
      </c>
      <c r="F21" s="15" t="s">
        <v>20</v>
      </c>
    </row>
    <row r="22" spans="1:9" s="6" customFormat="1" ht="16" customHeight="1" x14ac:dyDescent="0.4">
      <c r="A22" s="20" t="s">
        <v>146</v>
      </c>
      <c r="B22" s="20" t="s">
        <v>33</v>
      </c>
      <c r="C22" s="21">
        <v>3</v>
      </c>
      <c r="D22" s="21">
        <v>0</v>
      </c>
      <c r="E22" s="21">
        <v>3</v>
      </c>
      <c r="F22" s="20" t="s">
        <v>20</v>
      </c>
      <c r="G22" s="1"/>
      <c r="H22" s="4"/>
      <c r="I22" s="4"/>
    </row>
    <row r="23" spans="1:9" s="9" customFormat="1" ht="16" customHeight="1" x14ac:dyDescent="0.4">
      <c r="A23" s="15" t="s">
        <v>16</v>
      </c>
      <c r="B23" s="15" t="s">
        <v>17</v>
      </c>
      <c r="C23" s="16">
        <v>3</v>
      </c>
      <c r="D23" s="16">
        <v>0</v>
      </c>
      <c r="E23" s="16">
        <f t="shared" ref="E23:E25" si="2">SUM(C23:D23)</f>
        <v>3</v>
      </c>
      <c r="F23" s="15" t="s">
        <v>118</v>
      </c>
      <c r="G23" s="1"/>
      <c r="H23" s="4"/>
      <c r="I23" s="4"/>
    </row>
    <row r="24" spans="1:9" s="51" customFormat="1" ht="16" customHeight="1" x14ac:dyDescent="0.4">
      <c r="A24" s="46" t="s">
        <v>209</v>
      </c>
      <c r="B24" s="46" t="s">
        <v>184</v>
      </c>
      <c r="C24" s="47">
        <v>3</v>
      </c>
      <c r="D24" s="47">
        <v>0</v>
      </c>
      <c r="E24" s="47">
        <f t="shared" si="2"/>
        <v>3</v>
      </c>
      <c r="F24" s="46" t="s">
        <v>118</v>
      </c>
      <c r="G24" s="48"/>
      <c r="H24" s="49"/>
      <c r="I24" s="49"/>
    </row>
    <row r="25" spans="1:9" s="6" customFormat="1" ht="16" customHeight="1" x14ac:dyDescent="0.4">
      <c r="A25" s="15" t="s">
        <v>34</v>
      </c>
      <c r="B25" s="15" t="s">
        <v>35</v>
      </c>
      <c r="C25" s="16">
        <v>3</v>
      </c>
      <c r="D25" s="16">
        <v>0</v>
      </c>
      <c r="E25" s="16">
        <f t="shared" si="2"/>
        <v>3</v>
      </c>
      <c r="F25" s="15" t="s">
        <v>118</v>
      </c>
      <c r="G25" s="1"/>
      <c r="H25" s="4"/>
      <c r="I25" s="4"/>
    </row>
    <row r="26" spans="1:9" s="52" customFormat="1" ht="16" customHeight="1" x14ac:dyDescent="0.4">
      <c r="A26" s="46" t="s">
        <v>104</v>
      </c>
      <c r="B26" s="46" t="s">
        <v>199</v>
      </c>
      <c r="C26" s="47">
        <v>2</v>
      </c>
      <c r="D26" s="47">
        <v>0</v>
      </c>
      <c r="E26" s="47">
        <v>2</v>
      </c>
      <c r="F26" s="46" t="s">
        <v>105</v>
      </c>
      <c r="G26" s="48"/>
      <c r="H26" s="49"/>
      <c r="I26" s="49"/>
    </row>
    <row r="27" spans="1:9" s="8" customFormat="1" ht="30" customHeight="1" x14ac:dyDescent="0.4">
      <c r="A27" s="15" t="s">
        <v>36</v>
      </c>
      <c r="B27" s="17" t="s">
        <v>102</v>
      </c>
      <c r="C27" s="18" t="s">
        <v>23</v>
      </c>
      <c r="D27" s="16">
        <v>0</v>
      </c>
      <c r="E27" s="18" t="s">
        <v>23</v>
      </c>
      <c r="F27" s="15" t="s">
        <v>22</v>
      </c>
      <c r="G27" s="1"/>
      <c r="H27" s="4"/>
      <c r="I27" s="4"/>
    </row>
    <row r="28" spans="1:9" s="4" customFormat="1" ht="14.5" customHeight="1" x14ac:dyDescent="0.4">
      <c r="A28" s="15"/>
      <c r="B28" s="15"/>
      <c r="C28" s="102" t="s">
        <v>24</v>
      </c>
      <c r="D28" s="102"/>
      <c r="E28" s="29">
        <f>SUM(E19:E27)</f>
        <v>23</v>
      </c>
      <c r="F28" s="15"/>
      <c r="G28" s="1"/>
    </row>
    <row r="29" spans="1:9" s="4" customFormat="1" ht="14.5" customHeight="1" x14ac:dyDescent="0.4">
      <c r="A29" s="106" t="s">
        <v>37</v>
      </c>
      <c r="B29" s="106"/>
      <c r="C29" s="106"/>
      <c r="D29" s="106"/>
      <c r="E29" s="106"/>
      <c r="F29" s="106"/>
      <c r="G29" s="1"/>
    </row>
    <row r="30" spans="1:9" s="5" customFormat="1" ht="16" customHeight="1" x14ac:dyDescent="0.4">
      <c r="A30" s="20" t="s">
        <v>47</v>
      </c>
      <c r="B30" s="20" t="s">
        <v>48</v>
      </c>
      <c r="C30" s="21">
        <v>2</v>
      </c>
      <c r="D30" s="21">
        <v>1</v>
      </c>
      <c r="E30" s="21">
        <v>3</v>
      </c>
      <c r="F30" s="20" t="s">
        <v>26</v>
      </c>
      <c r="G30" s="1"/>
      <c r="H30" s="4"/>
      <c r="I30" s="4"/>
    </row>
    <row r="31" spans="1:9" s="76" customFormat="1" ht="16" customHeight="1" x14ac:dyDescent="0.4">
      <c r="A31" s="77" t="s">
        <v>158</v>
      </c>
      <c r="B31" s="77" t="s">
        <v>159</v>
      </c>
      <c r="C31" s="78">
        <v>3</v>
      </c>
      <c r="D31" s="78">
        <v>0</v>
      </c>
      <c r="E31" s="78">
        <f>SUM(C31:D31)</f>
        <v>3</v>
      </c>
      <c r="F31" s="77" t="s">
        <v>29</v>
      </c>
      <c r="G31" s="75"/>
    </row>
    <row r="32" spans="1:9" s="76" customFormat="1" ht="16" customHeight="1" x14ac:dyDescent="0.4">
      <c r="A32" s="73" t="s">
        <v>63</v>
      </c>
      <c r="B32" s="73" t="s">
        <v>204</v>
      </c>
      <c r="C32" s="74">
        <v>2</v>
      </c>
      <c r="D32" s="74">
        <v>1</v>
      </c>
      <c r="E32" s="74">
        <v>3</v>
      </c>
      <c r="F32" s="73" t="s">
        <v>10</v>
      </c>
      <c r="G32" s="75"/>
    </row>
    <row r="33" spans="1:9" s="76" customFormat="1" ht="16" customHeight="1" x14ac:dyDescent="0.4">
      <c r="A33" s="77" t="s">
        <v>49</v>
      </c>
      <c r="B33" s="77" t="s">
        <v>50</v>
      </c>
      <c r="C33" s="78">
        <v>2</v>
      </c>
      <c r="D33" s="78">
        <v>1</v>
      </c>
      <c r="E33" s="78">
        <f>SUM(C33:D33)</f>
        <v>3</v>
      </c>
      <c r="F33" s="77" t="s">
        <v>26</v>
      </c>
      <c r="G33" s="75"/>
    </row>
    <row r="34" spans="1:9" s="76" customFormat="1" ht="16" customHeight="1" x14ac:dyDescent="0.4">
      <c r="A34" s="77" t="s">
        <v>42</v>
      </c>
      <c r="B34" s="77" t="s">
        <v>43</v>
      </c>
      <c r="C34" s="78">
        <v>2</v>
      </c>
      <c r="D34" s="78">
        <v>1</v>
      </c>
      <c r="E34" s="78">
        <f t="shared" ref="E34" si="3">SUM(C34:D34)</f>
        <v>3</v>
      </c>
      <c r="F34" s="77" t="s">
        <v>26</v>
      </c>
      <c r="G34" s="75"/>
      <c r="I34" s="76" t="s">
        <v>120</v>
      </c>
    </row>
    <row r="35" spans="1:9" s="76" customFormat="1" ht="16" customHeight="1" x14ac:dyDescent="0.4">
      <c r="A35" s="73" t="s">
        <v>154</v>
      </c>
      <c r="B35" s="73" t="s">
        <v>175</v>
      </c>
      <c r="C35" s="74">
        <v>3</v>
      </c>
      <c r="D35" s="74">
        <v>0</v>
      </c>
      <c r="E35" s="74">
        <v>3</v>
      </c>
      <c r="F35" s="73" t="s">
        <v>146</v>
      </c>
      <c r="G35" s="75"/>
    </row>
    <row r="36" spans="1:9" s="76" customFormat="1" ht="16" customHeight="1" x14ac:dyDescent="0.4">
      <c r="A36" s="77" t="s">
        <v>44</v>
      </c>
      <c r="B36" s="77" t="s">
        <v>45</v>
      </c>
      <c r="C36" s="78">
        <v>3</v>
      </c>
      <c r="D36" s="78">
        <v>0</v>
      </c>
      <c r="E36" s="78">
        <f t="shared" ref="E36" si="4">SUM(C36:D36)</f>
        <v>3</v>
      </c>
      <c r="F36" s="77" t="s">
        <v>118</v>
      </c>
      <c r="G36" s="75"/>
    </row>
    <row r="37" spans="1:9" s="72" customFormat="1" ht="16" customHeight="1" x14ac:dyDescent="0.4">
      <c r="A37" s="69" t="s">
        <v>59</v>
      </c>
      <c r="B37" s="81" t="s">
        <v>200</v>
      </c>
      <c r="C37" s="70">
        <v>2</v>
      </c>
      <c r="D37" s="70">
        <v>0</v>
      </c>
      <c r="E37" s="70">
        <v>2</v>
      </c>
      <c r="F37" s="69" t="s">
        <v>105</v>
      </c>
      <c r="G37" s="71"/>
    </row>
    <row r="38" spans="1:9" s="76" customFormat="1" ht="16" customHeight="1" x14ac:dyDescent="0.4">
      <c r="A38" s="77"/>
      <c r="B38" s="82" t="s">
        <v>201</v>
      </c>
      <c r="C38" s="122" t="s">
        <v>24</v>
      </c>
      <c r="D38" s="122"/>
      <c r="E38" s="83">
        <f>SUM(E30:E37)</f>
        <v>23</v>
      </c>
      <c r="F38" s="77"/>
      <c r="G38" s="75"/>
    </row>
    <row r="39" spans="1:9" s="4" customFormat="1" ht="16" customHeight="1" x14ac:dyDescent="0.4">
      <c r="A39" s="106" t="s">
        <v>46</v>
      </c>
      <c r="B39" s="106"/>
      <c r="C39" s="106"/>
      <c r="D39" s="106"/>
      <c r="E39" s="106"/>
      <c r="F39" s="106"/>
      <c r="G39" s="1"/>
      <c r="I39" s="4" t="s">
        <v>120</v>
      </c>
    </row>
    <row r="40" spans="1:9" s="10" customFormat="1" ht="16" customHeight="1" x14ac:dyDescent="0.4">
      <c r="A40" s="20" t="s">
        <v>185</v>
      </c>
      <c r="B40" s="20" t="s">
        <v>94</v>
      </c>
      <c r="C40" s="21">
        <v>2</v>
      </c>
      <c r="D40" s="21">
        <v>1</v>
      </c>
      <c r="E40" s="21">
        <v>3</v>
      </c>
      <c r="F40" s="20" t="s">
        <v>118</v>
      </c>
      <c r="G40" s="1"/>
    </row>
    <row r="41" spans="1:9" s="87" customFormat="1" ht="16" customHeight="1" x14ac:dyDescent="0.4">
      <c r="A41" s="84" t="s">
        <v>31</v>
      </c>
      <c r="B41" s="84" t="s">
        <v>32</v>
      </c>
      <c r="C41" s="85">
        <v>2</v>
      </c>
      <c r="D41" s="85">
        <v>1</v>
      </c>
      <c r="E41" s="85">
        <f>SUM(C41:D41)</f>
        <v>3</v>
      </c>
      <c r="F41" s="84" t="s">
        <v>10</v>
      </c>
      <c r="G41" s="86"/>
    </row>
    <row r="42" spans="1:9" s="87" customFormat="1" ht="16" customHeight="1" x14ac:dyDescent="0.4">
      <c r="A42" s="84" t="s">
        <v>51</v>
      </c>
      <c r="B42" s="84" t="s">
        <v>52</v>
      </c>
      <c r="C42" s="85">
        <v>2</v>
      </c>
      <c r="D42" s="85">
        <v>1</v>
      </c>
      <c r="E42" s="85">
        <f t="shared" ref="E42" si="5">SUM(C42:D42)</f>
        <v>3</v>
      </c>
      <c r="F42" s="84" t="s">
        <v>42</v>
      </c>
      <c r="G42" s="86"/>
    </row>
    <row r="43" spans="1:9" s="76" customFormat="1" ht="16" customHeight="1" x14ac:dyDescent="0.4">
      <c r="A43" s="73" t="s">
        <v>149</v>
      </c>
      <c r="B43" s="73" t="s">
        <v>53</v>
      </c>
      <c r="C43" s="74">
        <v>2</v>
      </c>
      <c r="D43" s="74">
        <v>1</v>
      </c>
      <c r="E43" s="74">
        <v>3</v>
      </c>
      <c r="F43" s="73" t="s">
        <v>118</v>
      </c>
      <c r="G43" s="75"/>
    </row>
    <row r="44" spans="1:9" s="87" customFormat="1" ht="16" customHeight="1" x14ac:dyDescent="0.4">
      <c r="A44" s="88" t="s">
        <v>194</v>
      </c>
      <c r="B44" s="88" t="s">
        <v>28</v>
      </c>
      <c r="C44" s="89">
        <v>3</v>
      </c>
      <c r="D44" s="89">
        <v>0</v>
      </c>
      <c r="E44" s="89">
        <v>3</v>
      </c>
      <c r="F44" s="88" t="s">
        <v>118</v>
      </c>
      <c r="G44" s="86"/>
    </row>
    <row r="45" spans="1:9" s="87" customFormat="1" ht="16" customHeight="1" x14ac:dyDescent="0.4">
      <c r="A45" s="88" t="s">
        <v>155</v>
      </c>
      <c r="B45" s="88" t="s">
        <v>54</v>
      </c>
      <c r="C45" s="89">
        <v>3</v>
      </c>
      <c r="D45" s="89">
        <v>0</v>
      </c>
      <c r="E45" s="89">
        <v>3</v>
      </c>
      <c r="F45" s="88" t="s">
        <v>146</v>
      </c>
      <c r="G45" s="86"/>
    </row>
    <row r="46" spans="1:9" s="87" customFormat="1" ht="16" customHeight="1" x14ac:dyDescent="0.4">
      <c r="A46" s="84" t="s">
        <v>57</v>
      </c>
      <c r="B46" s="84" t="s">
        <v>58</v>
      </c>
      <c r="C46" s="85">
        <v>3</v>
      </c>
      <c r="D46" s="85">
        <v>0</v>
      </c>
      <c r="E46" s="85">
        <f>SUM(C46:D46)</f>
        <v>3</v>
      </c>
      <c r="F46" s="84" t="s">
        <v>118</v>
      </c>
      <c r="G46" s="86"/>
    </row>
    <row r="47" spans="1:9" s="87" customFormat="1" ht="16" customHeight="1" x14ac:dyDescent="0.4">
      <c r="A47" s="90" t="s">
        <v>103</v>
      </c>
      <c r="B47" s="91" t="s">
        <v>200</v>
      </c>
      <c r="C47" s="92">
        <v>2</v>
      </c>
      <c r="D47" s="92">
        <v>0</v>
      </c>
      <c r="E47" s="92">
        <v>2</v>
      </c>
      <c r="F47" s="90" t="s">
        <v>105</v>
      </c>
      <c r="G47" s="86"/>
    </row>
    <row r="48" spans="1:9" s="87" customFormat="1" ht="16" customHeight="1" x14ac:dyDescent="0.4">
      <c r="A48" s="84"/>
      <c r="B48" s="93" t="s">
        <v>202</v>
      </c>
      <c r="C48" s="121" t="s">
        <v>24</v>
      </c>
      <c r="D48" s="121"/>
      <c r="E48" s="94">
        <f>SUM(E40:E47)</f>
        <v>23</v>
      </c>
      <c r="F48" s="84"/>
      <c r="G48" s="86"/>
    </row>
    <row r="49" spans="1:9" s="4" customFormat="1" ht="14.5" customHeight="1" x14ac:dyDescent="0.4">
      <c r="A49" s="106" t="s">
        <v>60</v>
      </c>
      <c r="B49" s="106"/>
      <c r="C49" s="106"/>
      <c r="D49" s="106"/>
      <c r="E49" s="106"/>
      <c r="F49" s="106"/>
      <c r="G49" s="1"/>
    </row>
    <row r="50" spans="1:9" s="10" customFormat="1" ht="16" customHeight="1" x14ac:dyDescent="0.4">
      <c r="A50" s="15" t="s">
        <v>61</v>
      </c>
      <c r="B50" s="15" t="s">
        <v>62</v>
      </c>
      <c r="C50" s="16">
        <v>3</v>
      </c>
      <c r="D50" s="16">
        <v>0</v>
      </c>
      <c r="E50" s="16">
        <f t="shared" ref="E50" si="6">SUM(C50:D50)</f>
        <v>3</v>
      </c>
      <c r="F50" s="15" t="s">
        <v>38</v>
      </c>
      <c r="G50" s="1"/>
      <c r="H50" s="4"/>
      <c r="I50" s="4"/>
    </row>
    <row r="51" spans="1:9" s="10" customFormat="1" ht="16" customHeight="1" x14ac:dyDescent="0.4">
      <c r="A51" s="20" t="s">
        <v>148</v>
      </c>
      <c r="B51" s="20" t="s">
        <v>189</v>
      </c>
      <c r="C51" s="21">
        <v>3</v>
      </c>
      <c r="D51" s="21">
        <v>0</v>
      </c>
      <c r="E51" s="21">
        <v>3</v>
      </c>
      <c r="F51" s="20" t="s">
        <v>51</v>
      </c>
      <c r="G51" s="1"/>
    </row>
    <row r="52" spans="1:9" s="87" customFormat="1" ht="16" customHeight="1" x14ac:dyDescent="0.4">
      <c r="A52" s="88" t="s">
        <v>147</v>
      </c>
      <c r="B52" s="88" t="s">
        <v>205</v>
      </c>
      <c r="C52" s="89">
        <v>2</v>
      </c>
      <c r="D52" s="89">
        <v>1</v>
      </c>
      <c r="E52" s="89">
        <v>3</v>
      </c>
      <c r="F52" s="88" t="s">
        <v>63</v>
      </c>
      <c r="G52" s="86"/>
    </row>
    <row r="53" spans="1:9" s="9" customFormat="1" ht="16" customHeight="1" x14ac:dyDescent="0.4">
      <c r="A53" s="20" t="s">
        <v>137</v>
      </c>
      <c r="B53" s="20" t="s">
        <v>136</v>
      </c>
      <c r="C53" s="21">
        <v>2</v>
      </c>
      <c r="D53" s="21">
        <v>1</v>
      </c>
      <c r="E53" s="16">
        <f>SUM(C53:D53)</f>
        <v>3</v>
      </c>
      <c r="F53" s="15" t="s">
        <v>10</v>
      </c>
      <c r="G53" s="1"/>
    </row>
    <row r="54" spans="1:9" s="55" customFormat="1" ht="16" customHeight="1" x14ac:dyDescent="0.4">
      <c r="A54" s="46" t="s">
        <v>178</v>
      </c>
      <c r="B54" s="46" t="s">
        <v>179</v>
      </c>
      <c r="C54" s="47">
        <v>2</v>
      </c>
      <c r="D54" s="47">
        <v>1</v>
      </c>
      <c r="E54" s="47">
        <f t="shared" ref="E54" si="7">SUM(C54:D54)</f>
        <v>3</v>
      </c>
      <c r="F54" s="46" t="s">
        <v>118</v>
      </c>
      <c r="G54" s="48"/>
      <c r="H54" s="49"/>
      <c r="I54" s="49"/>
    </row>
    <row r="55" spans="1:9" s="9" customFormat="1" ht="16" customHeight="1" x14ac:dyDescent="0.4">
      <c r="A55" s="15" t="s">
        <v>134</v>
      </c>
      <c r="B55" s="15" t="s">
        <v>67</v>
      </c>
      <c r="C55" s="16">
        <v>2</v>
      </c>
      <c r="D55" s="16">
        <v>1</v>
      </c>
      <c r="E55" s="16">
        <f>SUM(C55:D55)</f>
        <v>3</v>
      </c>
      <c r="F55" s="15" t="s">
        <v>118</v>
      </c>
      <c r="G55" s="1"/>
      <c r="H55" s="4"/>
      <c r="I55" s="4"/>
    </row>
    <row r="56" spans="1:9" s="87" customFormat="1" ht="16" customHeight="1" x14ac:dyDescent="0.4">
      <c r="A56" s="88" t="s">
        <v>151</v>
      </c>
      <c r="B56" s="88" t="s">
        <v>66</v>
      </c>
      <c r="C56" s="89">
        <v>2</v>
      </c>
      <c r="D56" s="89">
        <v>1</v>
      </c>
      <c r="E56" s="89">
        <v>3</v>
      </c>
      <c r="F56" s="88" t="s">
        <v>149</v>
      </c>
      <c r="G56" s="86"/>
    </row>
    <row r="57" spans="1:9" s="4" customFormat="1" ht="16" customHeight="1" x14ac:dyDescent="0.4">
      <c r="A57" s="15" t="s">
        <v>73</v>
      </c>
      <c r="B57" s="15" t="s">
        <v>74</v>
      </c>
      <c r="C57" s="16">
        <v>3</v>
      </c>
      <c r="D57" s="16">
        <v>0</v>
      </c>
      <c r="E57" s="16">
        <f>SUM(C57:D57)</f>
        <v>3</v>
      </c>
      <c r="F57" s="15" t="s">
        <v>118</v>
      </c>
      <c r="G57" s="1"/>
    </row>
    <row r="58" spans="1:9" s="4" customFormat="1" ht="16" customHeight="1" x14ac:dyDescent="0.4">
      <c r="A58" s="15"/>
      <c r="B58" s="15"/>
      <c r="C58" s="102" t="s">
        <v>24</v>
      </c>
      <c r="D58" s="102"/>
      <c r="E58" s="29">
        <f>SUM(E50:E57)</f>
        <v>24</v>
      </c>
      <c r="F58" s="15"/>
      <c r="G58" s="1"/>
    </row>
    <row r="59" spans="1:9" s="9" customFormat="1" ht="14.5" customHeight="1" x14ac:dyDescent="0.4">
      <c r="A59" s="106" t="s">
        <v>68</v>
      </c>
      <c r="B59" s="106"/>
      <c r="C59" s="106"/>
      <c r="D59" s="106"/>
      <c r="E59" s="106"/>
      <c r="F59" s="106"/>
      <c r="G59" s="1"/>
      <c r="H59" s="4"/>
      <c r="I59" s="4"/>
    </row>
    <row r="60" spans="1:9" s="56" customFormat="1" ht="16" customHeight="1" x14ac:dyDescent="0.4">
      <c r="A60" s="46" t="s">
        <v>176</v>
      </c>
      <c r="B60" s="46" t="s">
        <v>177</v>
      </c>
      <c r="C60" s="47">
        <v>2</v>
      </c>
      <c r="D60" s="47">
        <v>1</v>
      </c>
      <c r="E60" s="47">
        <f>SUM(C60:D60)</f>
        <v>3</v>
      </c>
      <c r="F60" s="46" t="s">
        <v>178</v>
      </c>
      <c r="G60" s="48"/>
      <c r="H60" s="49"/>
      <c r="I60" s="49"/>
    </row>
    <row r="61" spans="1:9" s="12" customFormat="1" ht="16" customHeight="1" x14ac:dyDescent="0.4">
      <c r="A61" s="15" t="s">
        <v>145</v>
      </c>
      <c r="B61" s="15" t="s">
        <v>69</v>
      </c>
      <c r="C61" s="16">
        <v>3</v>
      </c>
      <c r="D61" s="16">
        <v>0</v>
      </c>
      <c r="E61" s="16">
        <f>SUM(C61:D61)</f>
        <v>3</v>
      </c>
      <c r="F61" s="15" t="s">
        <v>61</v>
      </c>
      <c r="G61" s="1"/>
      <c r="H61" s="4"/>
      <c r="I61" s="4"/>
    </row>
    <row r="62" spans="1:9" s="9" customFormat="1" ht="16" customHeight="1" x14ac:dyDescent="0.4">
      <c r="A62" s="20" t="s">
        <v>150</v>
      </c>
      <c r="B62" s="20" t="s">
        <v>188</v>
      </c>
      <c r="C62" s="21">
        <v>2</v>
      </c>
      <c r="D62" s="21">
        <v>1</v>
      </c>
      <c r="E62" s="21">
        <v>3</v>
      </c>
      <c r="F62" s="20" t="s">
        <v>147</v>
      </c>
      <c r="G62" s="1"/>
      <c r="H62" s="4"/>
      <c r="I62" s="4"/>
    </row>
    <row r="63" spans="1:9" s="9" customFormat="1" ht="16" customHeight="1" x14ac:dyDescent="0.4">
      <c r="A63" s="15" t="s">
        <v>70</v>
      </c>
      <c r="B63" s="15" t="s">
        <v>71</v>
      </c>
      <c r="C63" s="16">
        <v>3</v>
      </c>
      <c r="D63" s="16">
        <v>0</v>
      </c>
      <c r="E63" s="16">
        <f>SUM(C63:D63)</f>
        <v>3</v>
      </c>
      <c r="F63" s="15" t="s">
        <v>148</v>
      </c>
      <c r="G63" s="1"/>
      <c r="H63" s="4"/>
      <c r="I63" s="4"/>
    </row>
    <row r="64" spans="1:9" s="9" customFormat="1" ht="16" customHeight="1" x14ac:dyDescent="0.4">
      <c r="A64" s="15" t="s">
        <v>135</v>
      </c>
      <c r="B64" s="15" t="s">
        <v>72</v>
      </c>
      <c r="C64" s="16">
        <v>2</v>
      </c>
      <c r="D64" s="16">
        <v>1</v>
      </c>
      <c r="E64" s="16">
        <f t="shared" ref="E64" si="8">SUM(C64:D64)</f>
        <v>3</v>
      </c>
      <c r="F64" s="15" t="s">
        <v>118</v>
      </c>
      <c r="G64" s="1"/>
      <c r="H64" s="4"/>
      <c r="I64" s="4"/>
    </row>
    <row r="65" spans="1:9" s="49" customFormat="1" ht="16" customHeight="1" x14ac:dyDescent="0.4">
      <c r="A65" s="46" t="s">
        <v>197</v>
      </c>
      <c r="B65" s="46" t="s">
        <v>206</v>
      </c>
      <c r="C65" s="47">
        <v>3</v>
      </c>
      <c r="D65" s="47">
        <v>0</v>
      </c>
      <c r="E65" s="47">
        <v>3</v>
      </c>
      <c r="F65" s="46" t="s">
        <v>18</v>
      </c>
      <c r="G65" s="48"/>
    </row>
    <row r="66" spans="1:9" s="4" customFormat="1" ht="16" customHeight="1" x14ac:dyDescent="0.4">
      <c r="A66" s="15" t="s">
        <v>55</v>
      </c>
      <c r="B66" s="15" t="s">
        <v>56</v>
      </c>
      <c r="C66" s="19">
        <v>3</v>
      </c>
      <c r="D66" s="16">
        <v>0</v>
      </c>
      <c r="E66" s="19" t="s">
        <v>23</v>
      </c>
      <c r="F66" s="15" t="s">
        <v>118</v>
      </c>
      <c r="G66" s="1"/>
    </row>
    <row r="67" spans="1:9" s="4" customFormat="1" ht="18" customHeight="1" x14ac:dyDescent="0.4">
      <c r="A67" s="15"/>
      <c r="B67" s="15"/>
      <c r="C67" s="102" t="s">
        <v>24</v>
      </c>
      <c r="D67" s="102"/>
      <c r="E67" s="29">
        <f>SUM(E60:E66)</f>
        <v>18</v>
      </c>
      <c r="F67" s="15"/>
      <c r="G67" s="1"/>
    </row>
    <row r="68" spans="1:9" s="10" customFormat="1" ht="14.5" customHeight="1" x14ac:dyDescent="0.4">
      <c r="A68" s="106" t="s">
        <v>75</v>
      </c>
      <c r="B68" s="106"/>
      <c r="C68" s="106"/>
      <c r="D68" s="106"/>
      <c r="E68" s="106"/>
      <c r="F68" s="106"/>
      <c r="G68" s="1"/>
      <c r="H68" s="4"/>
      <c r="I68" s="4"/>
    </row>
    <row r="69" spans="1:9" s="10" customFormat="1" ht="16" customHeight="1" x14ac:dyDescent="0.4">
      <c r="A69" s="15" t="s">
        <v>78</v>
      </c>
      <c r="B69" s="15" t="s">
        <v>79</v>
      </c>
      <c r="C69" s="16">
        <v>3</v>
      </c>
      <c r="D69" s="16">
        <v>0</v>
      </c>
      <c r="E69" s="16">
        <f t="shared" ref="E69:E71" si="9">SUM(C69:D69)</f>
        <v>3</v>
      </c>
      <c r="F69" s="15" t="s">
        <v>40</v>
      </c>
      <c r="G69" s="1"/>
      <c r="H69" s="4"/>
      <c r="I69" s="4"/>
    </row>
    <row r="70" spans="1:9" s="10" customFormat="1" ht="16" customHeight="1" x14ac:dyDescent="0.4">
      <c r="A70" s="20" t="s">
        <v>76</v>
      </c>
      <c r="B70" s="20" t="s">
        <v>77</v>
      </c>
      <c r="C70" s="21">
        <v>2</v>
      </c>
      <c r="D70" s="21">
        <v>1</v>
      </c>
      <c r="E70" s="16">
        <f t="shared" si="9"/>
        <v>3</v>
      </c>
      <c r="F70" s="15" t="s">
        <v>10</v>
      </c>
      <c r="G70" s="1"/>
      <c r="H70" s="4"/>
      <c r="I70" s="4"/>
    </row>
    <row r="71" spans="1:9" s="4" customFormat="1" ht="16" customHeight="1" x14ac:dyDescent="0.4">
      <c r="A71" s="15" t="s">
        <v>64</v>
      </c>
      <c r="B71" s="15" t="s">
        <v>65</v>
      </c>
      <c r="C71" s="16">
        <v>3</v>
      </c>
      <c r="D71" s="16">
        <v>0</v>
      </c>
      <c r="E71" s="16">
        <f t="shared" si="9"/>
        <v>3</v>
      </c>
      <c r="F71" s="15" t="s">
        <v>38</v>
      </c>
      <c r="G71" s="1"/>
    </row>
    <row r="72" spans="1:9" s="4" customFormat="1" ht="14.5" customHeight="1" x14ac:dyDescent="0.4">
      <c r="A72" s="15"/>
      <c r="B72" s="15"/>
      <c r="C72" s="102" t="s">
        <v>24</v>
      </c>
      <c r="D72" s="102"/>
      <c r="E72" s="29">
        <f>SUM(E69:E71)</f>
        <v>9</v>
      </c>
      <c r="F72" s="15"/>
      <c r="G72" s="1"/>
    </row>
    <row r="73" spans="1:9" s="9" customFormat="1" ht="14.5" customHeight="1" x14ac:dyDescent="0.4">
      <c r="A73" s="110" t="s">
        <v>80</v>
      </c>
      <c r="B73" s="110"/>
      <c r="C73" s="110"/>
      <c r="D73" s="110"/>
      <c r="E73" s="110"/>
      <c r="F73" s="110"/>
      <c r="G73" s="1"/>
    </row>
    <row r="74" spans="1:9" s="9" customFormat="1" ht="16" customHeight="1" x14ac:dyDescent="0.4">
      <c r="A74" s="20" t="s">
        <v>153</v>
      </c>
      <c r="B74" s="20" t="s">
        <v>82</v>
      </c>
      <c r="C74" s="21">
        <v>3</v>
      </c>
      <c r="D74" s="21">
        <v>0</v>
      </c>
      <c r="E74" s="21">
        <v>3</v>
      </c>
      <c r="F74" s="20" t="s">
        <v>118</v>
      </c>
      <c r="G74" s="1"/>
      <c r="H74" s="4"/>
      <c r="I74" s="4"/>
    </row>
    <row r="75" spans="1:9" s="10" customFormat="1" ht="16" customHeight="1" x14ac:dyDescent="0.4">
      <c r="A75" s="20" t="s">
        <v>152</v>
      </c>
      <c r="B75" s="20" t="s">
        <v>81</v>
      </c>
      <c r="C75" s="21">
        <v>2</v>
      </c>
      <c r="D75" s="21">
        <v>1</v>
      </c>
      <c r="E75" s="21">
        <v>3</v>
      </c>
      <c r="F75" s="20" t="s">
        <v>29</v>
      </c>
      <c r="G75" s="1"/>
      <c r="H75" s="4"/>
      <c r="I75" s="4"/>
    </row>
    <row r="76" spans="1:9" s="12" customFormat="1" ht="16" customHeight="1" x14ac:dyDescent="0.4">
      <c r="A76" s="15" t="s">
        <v>86</v>
      </c>
      <c r="B76" s="15" t="s">
        <v>87</v>
      </c>
      <c r="C76" s="16">
        <v>3</v>
      </c>
      <c r="D76" s="16">
        <v>0</v>
      </c>
      <c r="E76" s="21">
        <f t="shared" ref="E76:E79" si="10">SUM(C76:D76)</f>
        <v>3</v>
      </c>
      <c r="F76" s="15" t="s">
        <v>10</v>
      </c>
      <c r="G76" s="1"/>
      <c r="H76" s="4"/>
      <c r="I76" s="4"/>
    </row>
    <row r="77" spans="1:9" s="11" customFormat="1" ht="16" customHeight="1" x14ac:dyDescent="0.4">
      <c r="A77" s="20" t="s">
        <v>83</v>
      </c>
      <c r="B77" s="20" t="s">
        <v>84</v>
      </c>
      <c r="C77" s="21">
        <v>3</v>
      </c>
      <c r="D77" s="21">
        <v>0</v>
      </c>
      <c r="E77" s="21">
        <f t="shared" si="10"/>
        <v>3</v>
      </c>
      <c r="F77" s="20" t="s">
        <v>70</v>
      </c>
      <c r="G77" s="1"/>
      <c r="H77" s="4"/>
      <c r="I77" s="4"/>
    </row>
    <row r="78" spans="1:9" s="6" customFormat="1" ht="16" customHeight="1" x14ac:dyDescent="0.4">
      <c r="A78" s="20" t="s">
        <v>138</v>
      </c>
      <c r="B78" s="20" t="s">
        <v>85</v>
      </c>
      <c r="C78" s="21">
        <v>2</v>
      </c>
      <c r="D78" s="21">
        <v>1</v>
      </c>
      <c r="E78" s="21">
        <f t="shared" si="10"/>
        <v>3</v>
      </c>
      <c r="F78" s="15" t="s">
        <v>118</v>
      </c>
      <c r="G78" s="1"/>
      <c r="H78" s="4"/>
      <c r="I78" s="4"/>
    </row>
    <row r="79" spans="1:9" s="6" customFormat="1" ht="16" customHeight="1" x14ac:dyDescent="0.4">
      <c r="A79" s="15" t="s">
        <v>88</v>
      </c>
      <c r="B79" s="15" t="s">
        <v>89</v>
      </c>
      <c r="C79" s="16">
        <v>3</v>
      </c>
      <c r="D79" s="16">
        <v>0</v>
      </c>
      <c r="E79" s="21">
        <f t="shared" si="10"/>
        <v>3</v>
      </c>
      <c r="F79" s="15" t="s">
        <v>118</v>
      </c>
      <c r="G79" s="1"/>
      <c r="H79" s="4"/>
      <c r="I79" s="4"/>
    </row>
    <row r="80" spans="1:9" s="4" customFormat="1" ht="16" customHeight="1" x14ac:dyDescent="0.4">
      <c r="A80" s="15"/>
      <c r="B80" s="15"/>
      <c r="C80" s="102" t="s">
        <v>24</v>
      </c>
      <c r="D80" s="102"/>
      <c r="E80" s="29">
        <f>SUM(E74:E79)</f>
        <v>18</v>
      </c>
      <c r="F80" s="15"/>
      <c r="G80" s="1"/>
    </row>
    <row r="81" spans="1:9" s="4" customFormat="1" ht="14.5" customHeight="1" x14ac:dyDescent="0.4">
      <c r="A81" s="110" t="s">
        <v>90</v>
      </c>
      <c r="B81" s="110"/>
      <c r="C81" s="110"/>
      <c r="D81" s="110"/>
      <c r="E81" s="110"/>
      <c r="F81" s="110"/>
      <c r="G81" s="1"/>
    </row>
    <row r="82" spans="1:9" s="12" customFormat="1" ht="16" customHeight="1" x14ac:dyDescent="0.4">
      <c r="A82" s="20" t="s">
        <v>139</v>
      </c>
      <c r="B82" s="20" t="s">
        <v>100</v>
      </c>
      <c r="C82" s="21">
        <v>6</v>
      </c>
      <c r="D82" s="21">
        <v>0</v>
      </c>
      <c r="E82" s="21">
        <v>6</v>
      </c>
      <c r="F82" s="20" t="s">
        <v>106</v>
      </c>
      <c r="G82" s="1"/>
      <c r="H82" s="4"/>
      <c r="I82" s="4"/>
    </row>
    <row r="83" spans="1:9" s="4" customFormat="1" ht="14.5" customHeight="1" x14ac:dyDescent="0.4">
      <c r="A83" s="20"/>
      <c r="B83" s="20"/>
      <c r="C83" s="111" t="s">
        <v>24</v>
      </c>
      <c r="D83" s="111"/>
      <c r="E83" s="30">
        <f>SUM(E82)</f>
        <v>6</v>
      </c>
      <c r="F83" s="20"/>
      <c r="G83" s="1"/>
    </row>
    <row r="84" spans="1:9" s="4" customFormat="1" ht="14.5" customHeight="1" x14ac:dyDescent="0.4">
      <c r="A84" s="107" t="s">
        <v>91</v>
      </c>
      <c r="B84" s="108"/>
      <c r="C84" s="108"/>
      <c r="D84" s="108"/>
      <c r="E84" s="108"/>
      <c r="F84" s="109"/>
      <c r="G84" s="1"/>
    </row>
    <row r="85" spans="1:9" s="4" customFormat="1" ht="16" customHeight="1" x14ac:dyDescent="0.4">
      <c r="A85" s="20" t="s">
        <v>186</v>
      </c>
      <c r="B85" s="20" t="s">
        <v>187</v>
      </c>
      <c r="C85" s="21">
        <v>2</v>
      </c>
      <c r="D85" s="21">
        <v>1</v>
      </c>
      <c r="E85" s="21">
        <v>3</v>
      </c>
      <c r="F85" s="20" t="s">
        <v>118</v>
      </c>
      <c r="G85" s="1"/>
    </row>
    <row r="86" spans="1:9" s="4" customFormat="1" ht="16" customHeight="1" x14ac:dyDescent="0.4">
      <c r="A86" s="20" t="s">
        <v>97</v>
      </c>
      <c r="B86" s="20" t="s">
        <v>98</v>
      </c>
      <c r="C86" s="21">
        <v>2</v>
      </c>
      <c r="D86" s="21">
        <v>1</v>
      </c>
      <c r="E86" s="21">
        <v>3</v>
      </c>
      <c r="F86" s="20" t="s">
        <v>118</v>
      </c>
      <c r="G86" s="1"/>
    </row>
    <row r="87" spans="1:9" s="4" customFormat="1" ht="16" customHeight="1" x14ac:dyDescent="0.4">
      <c r="A87" s="20" t="s">
        <v>92</v>
      </c>
      <c r="B87" s="20" t="s">
        <v>93</v>
      </c>
      <c r="C87" s="21">
        <v>2</v>
      </c>
      <c r="D87" s="21">
        <v>1</v>
      </c>
      <c r="E87" s="21">
        <v>3</v>
      </c>
      <c r="F87" s="20" t="s">
        <v>118</v>
      </c>
      <c r="G87" s="1"/>
    </row>
    <row r="88" spans="1:9" s="4" customFormat="1" ht="16" customHeight="1" x14ac:dyDescent="0.4">
      <c r="A88" s="20" t="s">
        <v>95</v>
      </c>
      <c r="B88" s="20" t="s">
        <v>96</v>
      </c>
      <c r="C88" s="21">
        <v>2</v>
      </c>
      <c r="D88" s="21">
        <v>1</v>
      </c>
      <c r="E88" s="21">
        <v>3</v>
      </c>
      <c r="F88" s="20" t="s">
        <v>118</v>
      </c>
      <c r="G88" s="1"/>
    </row>
    <row r="89" spans="1:9" s="4" customFormat="1" ht="14.5" customHeight="1" x14ac:dyDescent="0.4">
      <c r="A89" s="107" t="s">
        <v>107</v>
      </c>
      <c r="B89" s="108"/>
      <c r="C89" s="108"/>
      <c r="D89" s="108"/>
      <c r="E89" s="108"/>
      <c r="F89" s="109"/>
      <c r="G89" s="1"/>
    </row>
    <row r="90" spans="1:9" s="4" customFormat="1" ht="16" customHeight="1" x14ac:dyDescent="0.4">
      <c r="A90" s="20" t="s">
        <v>146</v>
      </c>
      <c r="B90" s="20" t="s">
        <v>33</v>
      </c>
      <c r="C90" s="21">
        <v>3</v>
      </c>
      <c r="D90" s="21">
        <v>0</v>
      </c>
      <c r="E90" s="21">
        <v>3</v>
      </c>
      <c r="F90" s="20" t="s">
        <v>20</v>
      </c>
      <c r="G90" s="1"/>
    </row>
    <row r="91" spans="1:9" s="4" customFormat="1" ht="16" customHeight="1" x14ac:dyDescent="0.4">
      <c r="A91" s="20" t="s">
        <v>154</v>
      </c>
      <c r="B91" s="20" t="s">
        <v>175</v>
      </c>
      <c r="C91" s="21">
        <v>3</v>
      </c>
      <c r="D91" s="21">
        <v>0</v>
      </c>
      <c r="E91" s="21">
        <v>3</v>
      </c>
      <c r="F91" s="20" t="s">
        <v>146</v>
      </c>
      <c r="G91" s="1"/>
    </row>
    <row r="92" spans="1:9" s="4" customFormat="1" ht="16" customHeight="1" x14ac:dyDescent="0.4">
      <c r="A92" s="20" t="s">
        <v>155</v>
      </c>
      <c r="B92" s="20" t="s">
        <v>54</v>
      </c>
      <c r="C92" s="21">
        <v>3</v>
      </c>
      <c r="D92" s="21">
        <v>0</v>
      </c>
      <c r="E92" s="21">
        <v>3</v>
      </c>
      <c r="F92" s="20" t="s">
        <v>146</v>
      </c>
      <c r="G92" s="1"/>
    </row>
    <row r="93" spans="1:9" s="4" customFormat="1" ht="14.5" customHeight="1" x14ac:dyDescent="0.4">
      <c r="A93" s="107" t="s">
        <v>210</v>
      </c>
      <c r="B93" s="108"/>
      <c r="C93" s="108"/>
      <c r="D93" s="108"/>
      <c r="E93" s="108"/>
      <c r="F93" s="109"/>
      <c r="G93" s="1"/>
    </row>
    <row r="94" spans="1:9" s="4" customFormat="1" ht="16" customHeight="1" x14ac:dyDescent="0.4">
      <c r="A94" s="20" t="s">
        <v>194</v>
      </c>
      <c r="B94" s="20" t="s">
        <v>28</v>
      </c>
      <c r="C94" s="21">
        <v>3</v>
      </c>
      <c r="D94" s="21">
        <v>0</v>
      </c>
      <c r="E94" s="21">
        <v>3</v>
      </c>
      <c r="F94" s="20" t="s">
        <v>18</v>
      </c>
      <c r="G94" s="1"/>
    </row>
    <row r="95" spans="1:9" s="4" customFormat="1" ht="16" customHeight="1" x14ac:dyDescent="0.4">
      <c r="A95" s="20" t="s">
        <v>197</v>
      </c>
      <c r="B95" s="20" t="s">
        <v>206</v>
      </c>
      <c r="C95" s="21">
        <v>3</v>
      </c>
      <c r="D95" s="21">
        <v>0</v>
      </c>
      <c r="E95" s="21">
        <v>3</v>
      </c>
      <c r="F95" s="20" t="s">
        <v>18</v>
      </c>
      <c r="G95" s="1"/>
    </row>
    <row r="96" spans="1:9" s="4" customFormat="1" ht="14.5" customHeight="1" x14ac:dyDescent="0.4">
      <c r="A96" s="107" t="s">
        <v>99</v>
      </c>
      <c r="B96" s="108"/>
      <c r="C96" s="108"/>
      <c r="D96" s="108"/>
      <c r="E96" s="108"/>
      <c r="F96" s="109"/>
      <c r="G96" s="1"/>
    </row>
    <row r="97" spans="1:7" s="4" customFormat="1" ht="16" customHeight="1" x14ac:dyDescent="0.4">
      <c r="A97" s="20" t="s">
        <v>55</v>
      </c>
      <c r="B97" s="20" t="s">
        <v>56</v>
      </c>
      <c r="C97" s="21">
        <v>3</v>
      </c>
      <c r="D97" s="21">
        <v>0</v>
      </c>
      <c r="E97" s="21" t="s">
        <v>23</v>
      </c>
      <c r="F97" s="20" t="s">
        <v>118</v>
      </c>
      <c r="G97" s="1"/>
    </row>
    <row r="98" spans="1:7" s="4" customFormat="1" ht="14.5" customHeight="1" x14ac:dyDescent="0.4">
      <c r="A98" s="1"/>
      <c r="B98" s="1"/>
      <c r="C98" s="3"/>
      <c r="D98" s="3"/>
      <c r="E98" s="3"/>
      <c r="F98" s="1"/>
      <c r="G98" s="1"/>
    </row>
    <row r="99" spans="1:7" s="4" customFormat="1" ht="14.5" customHeight="1" x14ac:dyDescent="0.4">
      <c r="A99" s="1"/>
      <c r="B99" s="15" t="s">
        <v>109</v>
      </c>
      <c r="C99" s="29"/>
      <c r="D99" s="3"/>
      <c r="E99" s="3"/>
      <c r="F99" s="1"/>
      <c r="G99" s="1"/>
    </row>
    <row r="100" spans="1:7" s="4" customFormat="1" ht="14.5" customHeight="1" x14ac:dyDescent="0.4">
      <c r="A100" s="1"/>
      <c r="B100" s="22" t="s">
        <v>121</v>
      </c>
      <c r="C100" s="16">
        <v>27</v>
      </c>
      <c r="D100" s="3"/>
      <c r="E100" s="3"/>
      <c r="F100" s="1"/>
      <c r="G100" s="1"/>
    </row>
    <row r="101" spans="1:7" s="4" customFormat="1" ht="14.5" customHeight="1" x14ac:dyDescent="0.4">
      <c r="A101" s="1"/>
      <c r="B101" s="22" t="s">
        <v>211</v>
      </c>
      <c r="C101" s="16">
        <v>6</v>
      </c>
      <c r="D101" s="3"/>
      <c r="E101" s="3"/>
      <c r="F101" s="1"/>
      <c r="G101" s="1"/>
    </row>
    <row r="102" spans="1:7" s="4" customFormat="1" ht="14.5" customHeight="1" x14ac:dyDescent="0.4">
      <c r="A102" s="1"/>
      <c r="B102" s="22" t="s">
        <v>212</v>
      </c>
      <c r="C102" s="16">
        <v>6</v>
      </c>
      <c r="D102" s="3"/>
      <c r="E102" s="3"/>
      <c r="F102" s="1" t="s">
        <v>120</v>
      </c>
      <c r="G102" s="1"/>
    </row>
    <row r="103" spans="1:7" s="4" customFormat="1" ht="14.5" customHeight="1" x14ac:dyDescent="0.4">
      <c r="A103" s="1"/>
      <c r="B103" s="22" t="s">
        <v>110</v>
      </c>
      <c r="C103" s="16">
        <v>8</v>
      </c>
      <c r="D103" s="3"/>
      <c r="E103" s="3"/>
      <c r="F103" s="1"/>
      <c r="G103" s="1"/>
    </row>
    <row r="104" spans="1:7" s="4" customFormat="1" ht="14.5" customHeight="1" x14ac:dyDescent="0.4">
      <c r="A104" s="1"/>
      <c r="B104" s="22" t="s">
        <v>114</v>
      </c>
      <c r="C104" s="16">
        <v>9</v>
      </c>
      <c r="D104" s="3"/>
      <c r="E104" s="3"/>
      <c r="F104" s="1"/>
      <c r="G104" s="1"/>
    </row>
    <row r="105" spans="1:7" s="4" customFormat="1" ht="14.5" customHeight="1" x14ac:dyDescent="0.4">
      <c r="A105" s="1"/>
      <c r="B105" s="15" t="s">
        <v>116</v>
      </c>
      <c r="C105" s="19" t="s">
        <v>117</v>
      </c>
      <c r="D105" s="3"/>
      <c r="E105" s="3"/>
      <c r="F105" s="1"/>
      <c r="G105" s="1"/>
    </row>
    <row r="106" spans="1:7" s="4" customFormat="1" ht="14.5" customHeight="1" x14ac:dyDescent="0.4">
      <c r="A106" s="1"/>
      <c r="B106" s="15" t="s">
        <v>108</v>
      </c>
      <c r="C106" s="16">
        <v>18</v>
      </c>
      <c r="D106" s="3"/>
      <c r="E106" s="3"/>
      <c r="F106" s="1"/>
      <c r="G106" s="1"/>
    </row>
    <row r="107" spans="1:7" s="4" customFormat="1" ht="14.5" customHeight="1" x14ac:dyDescent="0.4">
      <c r="A107" s="1"/>
      <c r="B107" s="15" t="s">
        <v>111</v>
      </c>
      <c r="C107" s="16">
        <v>54</v>
      </c>
      <c r="D107" s="3"/>
      <c r="E107" s="3"/>
      <c r="F107" s="1"/>
      <c r="G107" s="1"/>
    </row>
    <row r="108" spans="1:7" s="4" customFormat="1" ht="14.5" customHeight="1" x14ac:dyDescent="0.4">
      <c r="A108" s="1"/>
      <c r="B108" s="15" t="s">
        <v>113</v>
      </c>
      <c r="C108" s="16">
        <v>30</v>
      </c>
      <c r="D108" s="3"/>
      <c r="E108" s="3"/>
      <c r="F108" s="1"/>
      <c r="G108" s="1"/>
    </row>
    <row r="109" spans="1:7" s="4" customFormat="1" ht="14.5" customHeight="1" x14ac:dyDescent="0.4">
      <c r="A109" s="1"/>
      <c r="B109" s="15" t="s">
        <v>112</v>
      </c>
      <c r="C109" s="16">
        <v>9</v>
      </c>
      <c r="D109" s="3"/>
      <c r="E109" s="3"/>
      <c r="F109" s="1"/>
      <c r="G109" s="1"/>
    </row>
    <row r="110" spans="1:7" s="4" customFormat="1" ht="14.5" customHeight="1" x14ac:dyDescent="0.4">
      <c r="A110" s="1"/>
      <c r="B110" s="15" t="s">
        <v>115</v>
      </c>
      <c r="C110" s="19" t="s">
        <v>23</v>
      </c>
      <c r="D110" s="3"/>
      <c r="E110" s="3"/>
      <c r="F110" s="1"/>
      <c r="G110" s="1"/>
    </row>
    <row r="111" spans="1:7" s="4" customFormat="1" ht="14.5" customHeight="1" x14ac:dyDescent="0.4">
      <c r="A111" s="1"/>
      <c r="B111" s="23" t="s">
        <v>119</v>
      </c>
      <c r="C111" s="29">
        <f>SUM(C100:C110)</f>
        <v>167</v>
      </c>
      <c r="D111" s="3"/>
      <c r="E111" s="42">
        <f>SUM(E17,E28,E38,E48,E58,E67,E72,E80,E83)</f>
        <v>167</v>
      </c>
      <c r="F111" s="1"/>
      <c r="G111" s="1"/>
    </row>
    <row r="112" spans="1:7" s="4" customFormat="1" ht="14.5" customHeight="1" x14ac:dyDescent="0.4">
      <c r="A112" s="1"/>
      <c r="B112" s="1"/>
      <c r="C112" s="3"/>
      <c r="D112" s="3"/>
      <c r="E112" s="3"/>
      <c r="F112" s="1"/>
      <c r="G112" s="1"/>
    </row>
    <row r="113" spans="1:7" s="4" customFormat="1" ht="14.5" customHeight="1" x14ac:dyDescent="0.4">
      <c r="A113" s="1" t="s">
        <v>123</v>
      </c>
      <c r="B113" s="1"/>
      <c r="D113" s="3"/>
      <c r="E113" s="3"/>
      <c r="F113" s="1"/>
      <c r="G113" s="1"/>
    </row>
    <row r="114" spans="1:7" s="4" customFormat="1" ht="14.5" customHeight="1" x14ac:dyDescent="0.4">
      <c r="A114" s="1"/>
      <c r="B114" s="1"/>
      <c r="D114" s="3"/>
      <c r="E114" s="3"/>
      <c r="F114" s="1"/>
      <c r="G114" s="1"/>
    </row>
    <row r="115" spans="1:7" ht="14.5" customHeight="1" x14ac:dyDescent="0.4">
      <c r="A115" s="25" t="s">
        <v>127</v>
      </c>
      <c r="C115" s="25" t="s">
        <v>125</v>
      </c>
    </row>
    <row r="116" spans="1:7" ht="14.5" customHeight="1" x14ac:dyDescent="0.4">
      <c r="A116" s="1" t="s">
        <v>124</v>
      </c>
      <c r="C116" s="1" t="s">
        <v>126</v>
      </c>
    </row>
    <row r="117" spans="1:7" ht="14.5" customHeight="1" x14ac:dyDescent="0.4">
      <c r="C117" s="1"/>
    </row>
    <row r="118" spans="1:7" ht="14.5" customHeight="1" x14ac:dyDescent="0.4">
      <c r="C118" s="1"/>
    </row>
    <row r="119" spans="1:7" ht="14.5" customHeight="1" x14ac:dyDescent="0.4">
      <c r="A119" s="24" t="s">
        <v>128</v>
      </c>
    </row>
    <row r="120" spans="1:7" ht="14.5" customHeight="1" x14ac:dyDescent="0.4">
      <c r="A120" s="3"/>
      <c r="C120" s="1"/>
    </row>
    <row r="121" spans="1:7" ht="14.5" customHeight="1" x14ac:dyDescent="0.4">
      <c r="A121" s="26" t="s">
        <v>129</v>
      </c>
    </row>
    <row r="122" spans="1:7" ht="14.5" customHeight="1" x14ac:dyDescent="0.4">
      <c r="A122" s="1" t="s">
        <v>130</v>
      </c>
    </row>
    <row r="124" spans="1:7" ht="14.5" customHeight="1" x14ac:dyDescent="0.4">
      <c r="A124" s="24" t="s">
        <v>156</v>
      </c>
      <c r="B124" s="4"/>
      <c r="C124" s="13"/>
      <c r="D124" s="13"/>
      <c r="E124" s="13"/>
      <c r="F124" s="4"/>
    </row>
    <row r="125" spans="1:7" ht="14.5" customHeight="1" x14ac:dyDescent="0.4">
      <c r="C125" s="1"/>
      <c r="D125" s="1"/>
      <c r="E125" s="13"/>
      <c r="F125" s="4"/>
    </row>
    <row r="126" spans="1:7" ht="14.5" customHeight="1" x14ac:dyDescent="0.4">
      <c r="A126" s="25" t="s">
        <v>132</v>
      </c>
      <c r="C126" s="1"/>
      <c r="D126" s="1"/>
      <c r="E126" s="13"/>
      <c r="F126" s="4"/>
    </row>
    <row r="127" spans="1:7" ht="14.5" customHeight="1" x14ac:dyDescent="0.4">
      <c r="A127" s="1" t="s">
        <v>133</v>
      </c>
      <c r="C127" s="1"/>
      <c r="D127" s="1"/>
      <c r="E127" s="13"/>
      <c r="F127" s="4"/>
    </row>
    <row r="128" spans="1:7" ht="14.5" customHeight="1" x14ac:dyDescent="0.4">
      <c r="B128" s="4"/>
      <c r="C128" s="13"/>
      <c r="D128" s="13"/>
      <c r="E128" s="13"/>
      <c r="F128" s="4"/>
    </row>
    <row r="129" spans="1:6" ht="14.5" customHeight="1" x14ac:dyDescent="0.4">
      <c r="B129" s="4"/>
      <c r="C129" s="13"/>
      <c r="D129" s="13"/>
      <c r="E129" s="13"/>
      <c r="F129" s="4"/>
    </row>
    <row r="130" spans="1:6" ht="14.5" customHeight="1" x14ac:dyDescent="0.4">
      <c r="A130" s="4"/>
      <c r="B130" s="4"/>
      <c r="C130" s="13"/>
      <c r="D130" s="13"/>
      <c r="E130" s="13"/>
      <c r="F130" s="4"/>
    </row>
    <row r="131" spans="1:6" ht="14.5" customHeight="1" x14ac:dyDescent="0.4">
      <c r="A131" s="112" t="s">
        <v>214</v>
      </c>
      <c r="B131" s="112"/>
      <c r="C131" s="112"/>
      <c r="D131" s="112"/>
      <c r="E131" s="13"/>
      <c r="F131" s="4"/>
    </row>
    <row r="132" spans="1:6" ht="14.5" customHeight="1" x14ac:dyDescent="0.4">
      <c r="A132" s="112" t="s">
        <v>216</v>
      </c>
      <c r="B132" s="112"/>
      <c r="C132" s="112"/>
      <c r="D132" s="112"/>
      <c r="E132" s="13"/>
      <c r="F132" s="4"/>
    </row>
    <row r="133" spans="1:6" ht="14.5" customHeight="1" x14ac:dyDescent="0.4">
      <c r="A133" s="112" t="s">
        <v>215</v>
      </c>
      <c r="B133" s="112"/>
      <c r="C133" s="112"/>
      <c r="D133" s="112"/>
      <c r="E133" s="13"/>
      <c r="F133" s="4"/>
    </row>
    <row r="134" spans="1:6" ht="14.5" customHeight="1" x14ac:dyDescent="0.4">
      <c r="A134" s="4"/>
      <c r="B134" s="4"/>
      <c r="C134" s="13"/>
      <c r="D134" s="13"/>
      <c r="E134" s="13"/>
      <c r="F134" s="4"/>
    </row>
    <row r="135" spans="1:6" ht="14.5" customHeight="1" x14ac:dyDescent="0.4">
      <c r="A135" s="4"/>
      <c r="B135" s="4"/>
      <c r="C135" s="13"/>
      <c r="D135" s="13"/>
      <c r="E135" s="13"/>
      <c r="F135" s="4"/>
    </row>
    <row r="136" spans="1:6" ht="14.5" customHeight="1" x14ac:dyDescent="0.4">
      <c r="A136" s="4"/>
      <c r="B136" s="4"/>
      <c r="C136" s="13"/>
      <c r="D136" s="13"/>
      <c r="E136" s="13"/>
      <c r="F136" s="4"/>
    </row>
  </sheetData>
  <mergeCells count="29">
    <mergeCell ref="A93:F93"/>
    <mergeCell ref="A96:F96"/>
    <mergeCell ref="A131:D131"/>
    <mergeCell ref="A132:D132"/>
    <mergeCell ref="A133:D133"/>
    <mergeCell ref="A89:F89"/>
    <mergeCell ref="A49:F49"/>
    <mergeCell ref="C58:D58"/>
    <mergeCell ref="A59:F59"/>
    <mergeCell ref="C67:D67"/>
    <mergeCell ref="A68:F68"/>
    <mergeCell ref="C72:D72"/>
    <mergeCell ref="A73:F73"/>
    <mergeCell ref="C80:D80"/>
    <mergeCell ref="A81:F81"/>
    <mergeCell ref="C83:D83"/>
    <mergeCell ref="A84:F84"/>
    <mergeCell ref="C48:D48"/>
    <mergeCell ref="A1:F1"/>
    <mergeCell ref="A2:F2"/>
    <mergeCell ref="A3:F3"/>
    <mergeCell ref="A4:F4"/>
    <mergeCell ref="A7:F7"/>
    <mergeCell ref="C17:D17"/>
    <mergeCell ref="A18:F18"/>
    <mergeCell ref="C28:D28"/>
    <mergeCell ref="A29:F29"/>
    <mergeCell ref="C38:D38"/>
    <mergeCell ref="A39:F39"/>
  </mergeCells>
  <printOptions horizontalCentered="1"/>
  <pageMargins left="0.6692913385826772" right="0.51181102362204722" top="0.27559055118110237" bottom="0.27559055118110237" header="0.31496062992125984" footer="0.31496062992125984"/>
  <pageSetup paperSize="256" scale="85" fitToWidth="0" fitToHeight="0" orientation="portrait" r:id="rId1"/>
  <rowBreaks count="1" manualBreakCount="1">
    <brk id="67" max="5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36"/>
  <sheetViews>
    <sheetView view="pageBreakPreview" topLeftCell="A16" zoomScale="145" zoomScaleNormal="130" zoomScaleSheetLayoutView="145" workbookViewId="0">
      <selection activeCell="B21" sqref="B21"/>
    </sheetView>
  </sheetViews>
  <sheetFormatPr defaultColWidth="8.84375" defaultRowHeight="14.5" customHeight="1" x14ac:dyDescent="0.4"/>
  <cols>
    <col min="1" max="1" width="15.69140625" style="1" customWidth="1"/>
    <col min="2" max="2" width="53.3046875" style="1" customWidth="1"/>
    <col min="3" max="4" width="6.69140625" style="3" customWidth="1"/>
    <col min="5" max="5" width="10" style="3" customWidth="1"/>
    <col min="6" max="6" width="16.53515625" style="1" customWidth="1"/>
    <col min="7" max="16384" width="8.84375" style="1"/>
  </cols>
  <sheetData>
    <row r="1" spans="1:7" ht="19.95" customHeight="1" x14ac:dyDescent="0.4">
      <c r="A1" s="103" t="s">
        <v>0</v>
      </c>
      <c r="B1" s="103"/>
      <c r="C1" s="103"/>
      <c r="D1" s="103"/>
      <c r="E1" s="103"/>
      <c r="F1" s="103"/>
    </row>
    <row r="2" spans="1:7" ht="14.5" customHeight="1" x14ac:dyDescent="0.4">
      <c r="A2" s="104" t="s">
        <v>1</v>
      </c>
      <c r="B2" s="104"/>
      <c r="C2" s="104"/>
      <c r="D2" s="104"/>
      <c r="E2" s="104"/>
      <c r="F2" s="104"/>
      <c r="G2" s="25"/>
    </row>
    <row r="3" spans="1:7" ht="14.5" customHeight="1" x14ac:dyDescent="0.4">
      <c r="A3" s="104" t="s">
        <v>2</v>
      </c>
      <c r="B3" s="104"/>
      <c r="C3" s="104"/>
      <c r="D3" s="104"/>
      <c r="E3" s="104"/>
      <c r="F3" s="104"/>
    </row>
    <row r="4" spans="1:7" ht="14.5" customHeight="1" x14ac:dyDescent="0.4">
      <c r="A4" s="105" t="s">
        <v>213</v>
      </c>
      <c r="B4" s="104"/>
      <c r="C4" s="104"/>
      <c r="D4" s="104"/>
      <c r="E4" s="104"/>
      <c r="F4" s="104"/>
    </row>
    <row r="5" spans="1:7" ht="14.5" customHeight="1" x14ac:dyDescent="0.4">
      <c r="A5" s="44"/>
      <c r="B5" s="43"/>
      <c r="C5" s="43"/>
      <c r="D5" s="43"/>
      <c r="E5" s="43"/>
      <c r="F5" s="43"/>
    </row>
    <row r="6" spans="1:7" s="4" customFormat="1" ht="28.95" customHeight="1" x14ac:dyDescent="0.4">
      <c r="A6" s="14" t="s">
        <v>3</v>
      </c>
      <c r="B6" s="14" t="s">
        <v>4</v>
      </c>
      <c r="C6" s="14" t="s">
        <v>5</v>
      </c>
      <c r="D6" s="14" t="s">
        <v>6</v>
      </c>
      <c r="E6" s="14" t="s">
        <v>7</v>
      </c>
      <c r="F6" s="14" t="s">
        <v>8</v>
      </c>
      <c r="G6" s="1"/>
    </row>
    <row r="7" spans="1:7" s="4" customFormat="1" ht="14.5" customHeight="1" x14ac:dyDescent="0.4">
      <c r="A7" s="106" t="s">
        <v>9</v>
      </c>
      <c r="B7" s="106"/>
      <c r="C7" s="106"/>
      <c r="D7" s="106"/>
      <c r="E7" s="106"/>
      <c r="F7" s="106"/>
      <c r="G7" s="1"/>
    </row>
    <row r="8" spans="1:7" s="60" customFormat="1" ht="16" customHeight="1" x14ac:dyDescent="0.4">
      <c r="A8" s="57" t="s">
        <v>10</v>
      </c>
      <c r="B8" s="57" t="s">
        <v>11</v>
      </c>
      <c r="C8" s="58">
        <v>2</v>
      </c>
      <c r="D8" s="58">
        <v>1</v>
      </c>
      <c r="E8" s="58">
        <v>3</v>
      </c>
      <c r="F8" s="57" t="s">
        <v>118</v>
      </c>
      <c r="G8" s="59"/>
    </row>
    <row r="9" spans="1:7" s="60" customFormat="1" ht="16" customHeight="1" x14ac:dyDescent="0.4">
      <c r="A9" s="57" t="s">
        <v>12</v>
      </c>
      <c r="B9" s="57" t="s">
        <v>13</v>
      </c>
      <c r="C9" s="58">
        <v>2</v>
      </c>
      <c r="D9" s="58">
        <v>1</v>
      </c>
      <c r="E9" s="58">
        <v>3</v>
      </c>
      <c r="F9" s="57" t="s">
        <v>118</v>
      </c>
      <c r="G9" s="59"/>
    </row>
    <row r="10" spans="1:7" s="60" customFormat="1" ht="16" customHeight="1" x14ac:dyDescent="0.4">
      <c r="A10" s="57" t="s">
        <v>40</v>
      </c>
      <c r="B10" s="57" t="s">
        <v>41</v>
      </c>
      <c r="C10" s="58">
        <v>2</v>
      </c>
      <c r="D10" s="58">
        <v>1</v>
      </c>
      <c r="E10" s="58">
        <v>3</v>
      </c>
      <c r="F10" s="57" t="s">
        <v>118</v>
      </c>
      <c r="G10" s="59"/>
    </row>
    <row r="11" spans="1:7" s="60" customFormat="1" ht="16" customHeight="1" x14ac:dyDescent="0.4">
      <c r="A11" s="61" t="s">
        <v>14</v>
      </c>
      <c r="B11" s="61" t="s">
        <v>15</v>
      </c>
      <c r="C11" s="62">
        <v>3</v>
      </c>
      <c r="D11" s="62">
        <v>0</v>
      </c>
      <c r="E11" s="62">
        <f t="shared" ref="E11:E14" si="0">SUM(C11:D11)</f>
        <v>3</v>
      </c>
      <c r="F11" s="61" t="s">
        <v>118</v>
      </c>
      <c r="G11" s="59"/>
    </row>
    <row r="12" spans="1:7" s="72" customFormat="1" ht="16" customHeight="1" x14ac:dyDescent="0.4">
      <c r="A12" s="69" t="s">
        <v>182</v>
      </c>
      <c r="B12" s="69" t="s">
        <v>183</v>
      </c>
      <c r="C12" s="70">
        <v>3</v>
      </c>
      <c r="D12" s="70">
        <v>0</v>
      </c>
      <c r="E12" s="70">
        <f t="shared" si="0"/>
        <v>3</v>
      </c>
      <c r="F12" s="69" t="s">
        <v>118</v>
      </c>
      <c r="G12" s="71"/>
    </row>
    <row r="13" spans="1:7" s="60" customFormat="1" ht="16" customHeight="1" x14ac:dyDescent="0.4">
      <c r="A13" s="61" t="s">
        <v>18</v>
      </c>
      <c r="B13" s="61" t="s">
        <v>19</v>
      </c>
      <c r="C13" s="62">
        <v>3</v>
      </c>
      <c r="D13" s="62">
        <v>0</v>
      </c>
      <c r="E13" s="62">
        <f t="shared" si="0"/>
        <v>3</v>
      </c>
      <c r="F13" s="61" t="s">
        <v>118</v>
      </c>
      <c r="G13" s="59"/>
    </row>
    <row r="14" spans="1:7" s="60" customFormat="1" ht="16" customHeight="1" x14ac:dyDescent="0.4">
      <c r="A14" s="61" t="s">
        <v>20</v>
      </c>
      <c r="B14" s="61" t="s">
        <v>21</v>
      </c>
      <c r="C14" s="62">
        <v>3</v>
      </c>
      <c r="D14" s="62">
        <v>0</v>
      </c>
      <c r="E14" s="62">
        <f t="shared" si="0"/>
        <v>3</v>
      </c>
      <c r="F14" s="61" t="s">
        <v>118</v>
      </c>
      <c r="G14" s="59"/>
    </row>
    <row r="15" spans="1:7" s="66" customFormat="1" ht="16" customHeight="1" x14ac:dyDescent="0.4">
      <c r="A15" s="63" t="s">
        <v>105</v>
      </c>
      <c r="B15" s="63" t="s">
        <v>198</v>
      </c>
      <c r="C15" s="64">
        <v>2</v>
      </c>
      <c r="D15" s="64">
        <v>0</v>
      </c>
      <c r="E15" s="64">
        <v>2</v>
      </c>
      <c r="F15" s="63" t="s">
        <v>118</v>
      </c>
      <c r="G15" s="65"/>
    </row>
    <row r="16" spans="1:7" s="60" customFormat="1" ht="16" customHeight="1" x14ac:dyDescent="0.4">
      <c r="A16" s="61" t="s">
        <v>22</v>
      </c>
      <c r="B16" s="67" t="s">
        <v>101</v>
      </c>
      <c r="C16" s="68" t="s">
        <v>23</v>
      </c>
      <c r="D16" s="62">
        <v>0</v>
      </c>
      <c r="E16" s="68" t="s">
        <v>23</v>
      </c>
      <c r="F16" s="61" t="s">
        <v>118</v>
      </c>
      <c r="G16" s="59"/>
    </row>
    <row r="17" spans="1:9" s="4" customFormat="1" ht="14.5" customHeight="1" x14ac:dyDescent="0.4">
      <c r="A17" s="15"/>
      <c r="B17" s="15"/>
      <c r="C17" s="102" t="s">
        <v>24</v>
      </c>
      <c r="D17" s="102"/>
      <c r="E17" s="29">
        <f>SUM(E8:E16)</f>
        <v>23</v>
      </c>
      <c r="F17" s="15"/>
      <c r="G17" s="1"/>
    </row>
    <row r="18" spans="1:9" s="4" customFormat="1" ht="14.5" customHeight="1" x14ac:dyDescent="0.4">
      <c r="A18" s="106" t="s">
        <v>25</v>
      </c>
      <c r="B18" s="106"/>
      <c r="C18" s="106"/>
      <c r="D18" s="106"/>
      <c r="E18" s="106"/>
      <c r="F18" s="106"/>
      <c r="G18" s="1"/>
    </row>
    <row r="19" spans="1:9" s="76" customFormat="1" ht="16" customHeight="1" x14ac:dyDescent="0.4">
      <c r="A19" s="73" t="s">
        <v>26</v>
      </c>
      <c r="B19" s="73" t="s">
        <v>27</v>
      </c>
      <c r="C19" s="74">
        <v>2</v>
      </c>
      <c r="D19" s="74">
        <v>1</v>
      </c>
      <c r="E19" s="74">
        <v>3</v>
      </c>
      <c r="F19" s="73" t="s">
        <v>12</v>
      </c>
      <c r="G19" s="75"/>
    </row>
    <row r="20" spans="1:9" s="76" customFormat="1" ht="16" customHeight="1" x14ac:dyDescent="0.4">
      <c r="A20" s="73" t="s">
        <v>38</v>
      </c>
      <c r="B20" s="73" t="s">
        <v>39</v>
      </c>
      <c r="C20" s="74">
        <v>2</v>
      </c>
      <c r="D20" s="74">
        <v>1</v>
      </c>
      <c r="E20" s="74">
        <v>3</v>
      </c>
      <c r="F20" s="73" t="s">
        <v>26</v>
      </c>
      <c r="G20" s="75"/>
    </row>
    <row r="21" spans="1:9" s="76" customFormat="1" ht="16" customHeight="1" x14ac:dyDescent="0.4">
      <c r="A21" s="77" t="s">
        <v>29</v>
      </c>
      <c r="B21" s="77" t="s">
        <v>30</v>
      </c>
      <c r="C21" s="78">
        <v>3</v>
      </c>
      <c r="D21" s="78">
        <v>0</v>
      </c>
      <c r="E21" s="78">
        <f t="shared" ref="E21" si="1">SUM(C21:D21)</f>
        <v>3</v>
      </c>
      <c r="F21" s="77" t="s">
        <v>20</v>
      </c>
    </row>
    <row r="22" spans="1:9" s="76" customFormat="1" ht="16" customHeight="1" x14ac:dyDescent="0.4">
      <c r="A22" s="73" t="s">
        <v>146</v>
      </c>
      <c r="B22" s="73" t="s">
        <v>33</v>
      </c>
      <c r="C22" s="74">
        <v>3</v>
      </c>
      <c r="D22" s="74">
        <v>0</v>
      </c>
      <c r="E22" s="74">
        <v>3</v>
      </c>
      <c r="F22" s="73" t="s">
        <v>20</v>
      </c>
      <c r="G22" s="75"/>
    </row>
    <row r="23" spans="1:9" s="76" customFormat="1" ht="16" customHeight="1" x14ac:dyDescent="0.4">
      <c r="A23" s="77" t="s">
        <v>16</v>
      </c>
      <c r="B23" s="77" t="s">
        <v>17</v>
      </c>
      <c r="C23" s="78">
        <v>3</v>
      </c>
      <c r="D23" s="78">
        <v>0</v>
      </c>
      <c r="E23" s="78">
        <f t="shared" ref="E23:E25" si="2">SUM(C23:D23)</f>
        <v>3</v>
      </c>
      <c r="F23" s="77" t="s">
        <v>118</v>
      </c>
      <c r="G23" s="75"/>
    </row>
    <row r="24" spans="1:9" s="72" customFormat="1" ht="16" customHeight="1" x14ac:dyDescent="0.4">
      <c r="A24" s="69" t="s">
        <v>209</v>
      </c>
      <c r="B24" s="69" t="s">
        <v>184</v>
      </c>
      <c r="C24" s="70">
        <v>3</v>
      </c>
      <c r="D24" s="70">
        <v>0</v>
      </c>
      <c r="E24" s="70">
        <f t="shared" si="2"/>
        <v>3</v>
      </c>
      <c r="F24" s="69" t="s">
        <v>118</v>
      </c>
      <c r="G24" s="71"/>
    </row>
    <row r="25" spans="1:9" s="76" customFormat="1" ht="16" customHeight="1" x14ac:dyDescent="0.4">
      <c r="A25" s="77" t="s">
        <v>34</v>
      </c>
      <c r="B25" s="77" t="s">
        <v>35</v>
      </c>
      <c r="C25" s="78">
        <v>3</v>
      </c>
      <c r="D25" s="78">
        <v>0</v>
      </c>
      <c r="E25" s="78">
        <f t="shared" si="2"/>
        <v>3</v>
      </c>
      <c r="F25" s="77" t="s">
        <v>118</v>
      </c>
      <c r="G25" s="75"/>
    </row>
    <row r="26" spans="1:9" s="72" customFormat="1" ht="16" customHeight="1" x14ac:dyDescent="0.4">
      <c r="A26" s="69" t="s">
        <v>104</v>
      </c>
      <c r="B26" s="69" t="s">
        <v>199</v>
      </c>
      <c r="C26" s="70">
        <v>2</v>
      </c>
      <c r="D26" s="70">
        <v>0</v>
      </c>
      <c r="E26" s="70">
        <v>2</v>
      </c>
      <c r="F26" s="69" t="s">
        <v>105</v>
      </c>
      <c r="G26" s="71"/>
    </row>
    <row r="27" spans="1:9" s="76" customFormat="1" ht="30" customHeight="1" x14ac:dyDescent="0.4">
      <c r="A27" s="77" t="s">
        <v>36</v>
      </c>
      <c r="B27" s="79" t="s">
        <v>102</v>
      </c>
      <c r="C27" s="80" t="s">
        <v>23</v>
      </c>
      <c r="D27" s="78">
        <v>0</v>
      </c>
      <c r="E27" s="80" t="s">
        <v>23</v>
      </c>
      <c r="F27" s="77" t="s">
        <v>22</v>
      </c>
      <c r="G27" s="75"/>
    </row>
    <row r="28" spans="1:9" s="4" customFormat="1" ht="14.5" customHeight="1" x14ac:dyDescent="0.4">
      <c r="A28" s="15"/>
      <c r="B28" s="15"/>
      <c r="C28" s="102" t="s">
        <v>24</v>
      </c>
      <c r="D28" s="102"/>
      <c r="E28" s="29">
        <f>SUM(E19:E27)</f>
        <v>23</v>
      </c>
      <c r="F28" s="15"/>
      <c r="G28" s="1"/>
    </row>
    <row r="29" spans="1:9" s="4" customFormat="1" ht="14.5" customHeight="1" x14ac:dyDescent="0.4">
      <c r="A29" s="106" t="s">
        <v>37</v>
      </c>
      <c r="B29" s="106"/>
      <c r="C29" s="106"/>
      <c r="D29" s="106"/>
      <c r="E29" s="106"/>
      <c r="F29" s="106"/>
      <c r="G29" s="1"/>
    </row>
    <row r="30" spans="1:9" s="5" customFormat="1" ht="16" customHeight="1" x14ac:dyDescent="0.4">
      <c r="A30" s="20" t="s">
        <v>47</v>
      </c>
      <c r="B30" s="20" t="s">
        <v>48</v>
      </c>
      <c r="C30" s="21">
        <v>2</v>
      </c>
      <c r="D30" s="21">
        <v>1</v>
      </c>
      <c r="E30" s="21">
        <v>3</v>
      </c>
      <c r="F30" s="20" t="s">
        <v>26</v>
      </c>
      <c r="G30" s="1"/>
      <c r="H30" s="4"/>
      <c r="I30" s="4"/>
    </row>
    <row r="31" spans="1:9" s="5" customFormat="1" ht="16" customHeight="1" x14ac:dyDescent="0.4">
      <c r="A31" s="15" t="s">
        <v>158</v>
      </c>
      <c r="B31" s="15" t="s">
        <v>159</v>
      </c>
      <c r="C31" s="16">
        <v>3</v>
      </c>
      <c r="D31" s="16">
        <v>0</v>
      </c>
      <c r="E31" s="16">
        <f>SUM(C31:D31)</f>
        <v>3</v>
      </c>
      <c r="F31" s="15" t="s">
        <v>29</v>
      </c>
      <c r="G31" s="1"/>
      <c r="H31" s="4"/>
      <c r="I31" s="4"/>
    </row>
    <row r="32" spans="1:9" s="10" customFormat="1" ht="16" customHeight="1" x14ac:dyDescent="0.4">
      <c r="A32" s="20" t="s">
        <v>63</v>
      </c>
      <c r="B32" s="20" t="s">
        <v>204</v>
      </c>
      <c r="C32" s="21">
        <v>2</v>
      </c>
      <c r="D32" s="21">
        <v>1</v>
      </c>
      <c r="E32" s="21">
        <v>3</v>
      </c>
      <c r="F32" s="20" t="s">
        <v>10</v>
      </c>
      <c r="G32" s="1"/>
    </row>
    <row r="33" spans="1:9" s="10" customFormat="1" ht="16" customHeight="1" x14ac:dyDescent="0.4">
      <c r="A33" s="15" t="s">
        <v>49</v>
      </c>
      <c r="B33" s="15" t="s">
        <v>50</v>
      </c>
      <c r="C33" s="16">
        <v>2</v>
      </c>
      <c r="D33" s="16">
        <v>1</v>
      </c>
      <c r="E33" s="16">
        <f>SUM(C33:D33)</f>
        <v>3</v>
      </c>
      <c r="F33" s="15" t="s">
        <v>26</v>
      </c>
      <c r="G33" s="1"/>
      <c r="H33" s="4"/>
      <c r="I33" s="4"/>
    </row>
    <row r="34" spans="1:9" s="10" customFormat="1" ht="16" customHeight="1" x14ac:dyDescent="0.4">
      <c r="A34" s="15" t="s">
        <v>42</v>
      </c>
      <c r="B34" s="15" t="s">
        <v>43</v>
      </c>
      <c r="C34" s="16">
        <v>2</v>
      </c>
      <c r="D34" s="16">
        <v>1</v>
      </c>
      <c r="E34" s="16">
        <f t="shared" ref="E34" si="3">SUM(C34:D34)</f>
        <v>3</v>
      </c>
      <c r="F34" s="15" t="s">
        <v>26</v>
      </c>
      <c r="G34" s="1"/>
      <c r="H34" s="4"/>
      <c r="I34" s="4" t="s">
        <v>120</v>
      </c>
    </row>
    <row r="35" spans="1:9" s="9" customFormat="1" ht="16" customHeight="1" x14ac:dyDescent="0.4">
      <c r="A35" s="20" t="s">
        <v>154</v>
      </c>
      <c r="B35" s="20" t="s">
        <v>175</v>
      </c>
      <c r="C35" s="21">
        <v>3</v>
      </c>
      <c r="D35" s="21">
        <v>0</v>
      </c>
      <c r="E35" s="21">
        <v>3</v>
      </c>
      <c r="F35" s="20" t="s">
        <v>146</v>
      </c>
      <c r="G35" s="1"/>
      <c r="H35" s="4"/>
      <c r="I35" s="4"/>
    </row>
    <row r="36" spans="1:9" s="6" customFormat="1" ht="16" customHeight="1" x14ac:dyDescent="0.4">
      <c r="A36" s="15" t="s">
        <v>44</v>
      </c>
      <c r="B36" s="15" t="s">
        <v>45</v>
      </c>
      <c r="C36" s="16">
        <v>3</v>
      </c>
      <c r="D36" s="16">
        <v>0</v>
      </c>
      <c r="E36" s="16">
        <f t="shared" ref="E36" si="4">SUM(C36:D36)</f>
        <v>3</v>
      </c>
      <c r="F36" s="15" t="s">
        <v>118</v>
      </c>
      <c r="G36" s="1"/>
      <c r="H36" s="4"/>
      <c r="I36" s="4"/>
    </row>
    <row r="37" spans="1:9" s="52" customFormat="1" ht="16" customHeight="1" x14ac:dyDescent="0.4">
      <c r="A37" s="46" t="s">
        <v>59</v>
      </c>
      <c r="B37" s="53" t="s">
        <v>200</v>
      </c>
      <c r="C37" s="47">
        <v>2</v>
      </c>
      <c r="D37" s="47">
        <v>0</v>
      </c>
      <c r="E37" s="47">
        <v>2</v>
      </c>
      <c r="F37" s="46" t="s">
        <v>105</v>
      </c>
      <c r="G37" s="48"/>
      <c r="H37" s="49"/>
      <c r="I37" s="49"/>
    </row>
    <row r="38" spans="1:9" s="4" customFormat="1" ht="16" customHeight="1" x14ac:dyDescent="0.4">
      <c r="A38" s="15"/>
      <c r="B38" s="54" t="s">
        <v>201</v>
      </c>
      <c r="C38" s="102" t="s">
        <v>24</v>
      </c>
      <c r="D38" s="102"/>
      <c r="E38" s="29">
        <f>SUM(E30:E37)</f>
        <v>23</v>
      </c>
      <c r="F38" s="15"/>
      <c r="G38" s="1"/>
    </row>
    <row r="39" spans="1:9" s="4" customFormat="1" ht="16" customHeight="1" x14ac:dyDescent="0.4">
      <c r="A39" s="106" t="s">
        <v>46</v>
      </c>
      <c r="B39" s="106"/>
      <c r="C39" s="106"/>
      <c r="D39" s="106"/>
      <c r="E39" s="106"/>
      <c r="F39" s="106"/>
      <c r="G39" s="1"/>
      <c r="I39" s="4" t="s">
        <v>120</v>
      </c>
    </row>
    <row r="40" spans="1:9" s="10" customFormat="1" ht="16" customHeight="1" x14ac:dyDescent="0.4">
      <c r="A40" s="20" t="s">
        <v>185</v>
      </c>
      <c r="B40" s="20" t="s">
        <v>94</v>
      </c>
      <c r="C40" s="21">
        <v>2</v>
      </c>
      <c r="D40" s="21">
        <v>1</v>
      </c>
      <c r="E40" s="21">
        <v>3</v>
      </c>
      <c r="F40" s="20" t="s">
        <v>118</v>
      </c>
      <c r="G40" s="1"/>
    </row>
    <row r="41" spans="1:9" s="10" customFormat="1" ht="16" customHeight="1" x14ac:dyDescent="0.4">
      <c r="A41" s="15" t="s">
        <v>31</v>
      </c>
      <c r="B41" s="15" t="s">
        <v>32</v>
      </c>
      <c r="C41" s="16">
        <v>2</v>
      </c>
      <c r="D41" s="16">
        <v>1</v>
      </c>
      <c r="E41" s="16">
        <f>SUM(C41:D41)</f>
        <v>3</v>
      </c>
      <c r="F41" s="15" t="s">
        <v>10</v>
      </c>
      <c r="G41" s="1"/>
      <c r="H41" s="4"/>
      <c r="I41" s="4"/>
    </row>
    <row r="42" spans="1:9" s="10" customFormat="1" ht="16" customHeight="1" x14ac:dyDescent="0.4">
      <c r="A42" s="15" t="s">
        <v>51</v>
      </c>
      <c r="B42" s="15" t="s">
        <v>52</v>
      </c>
      <c r="C42" s="16">
        <v>2</v>
      </c>
      <c r="D42" s="16">
        <v>1</v>
      </c>
      <c r="E42" s="16">
        <f t="shared" ref="E42" si="5">SUM(C42:D42)</f>
        <v>3</v>
      </c>
      <c r="F42" s="15" t="s">
        <v>42</v>
      </c>
      <c r="G42" s="1"/>
      <c r="H42" s="4"/>
      <c r="I42" s="4"/>
    </row>
    <row r="43" spans="1:9" s="10" customFormat="1" ht="16" customHeight="1" x14ac:dyDescent="0.4">
      <c r="A43" s="20" t="s">
        <v>149</v>
      </c>
      <c r="B43" s="20" t="s">
        <v>53</v>
      </c>
      <c r="C43" s="21">
        <v>2</v>
      </c>
      <c r="D43" s="21">
        <v>1</v>
      </c>
      <c r="E43" s="21">
        <v>3</v>
      </c>
      <c r="F43" s="20" t="s">
        <v>118</v>
      </c>
      <c r="G43" s="1"/>
      <c r="H43" s="4"/>
      <c r="I43" s="4"/>
    </row>
    <row r="44" spans="1:9" s="9" customFormat="1" ht="16" customHeight="1" x14ac:dyDescent="0.4">
      <c r="A44" s="20" t="s">
        <v>194</v>
      </c>
      <c r="B44" s="20" t="s">
        <v>28</v>
      </c>
      <c r="C44" s="21">
        <v>3</v>
      </c>
      <c r="D44" s="21">
        <v>0</v>
      </c>
      <c r="E44" s="21">
        <v>3</v>
      </c>
      <c r="F44" s="20" t="s">
        <v>118</v>
      </c>
      <c r="G44" s="1"/>
      <c r="H44" s="4"/>
      <c r="I44" s="4"/>
    </row>
    <row r="45" spans="1:9" s="9" customFormat="1" ht="16" customHeight="1" x14ac:dyDescent="0.4">
      <c r="A45" s="20" t="s">
        <v>155</v>
      </c>
      <c r="B45" s="20" t="s">
        <v>54</v>
      </c>
      <c r="C45" s="21">
        <v>3</v>
      </c>
      <c r="D45" s="21">
        <v>0</v>
      </c>
      <c r="E45" s="21">
        <v>3</v>
      </c>
      <c r="F45" s="20" t="s">
        <v>146</v>
      </c>
      <c r="G45" s="1"/>
      <c r="H45" s="4"/>
      <c r="I45" s="4"/>
    </row>
    <row r="46" spans="1:9" s="7" customFormat="1" ht="16" customHeight="1" x14ac:dyDescent="0.4">
      <c r="A46" s="15" t="s">
        <v>57</v>
      </c>
      <c r="B46" s="15" t="s">
        <v>58</v>
      </c>
      <c r="C46" s="16">
        <v>3</v>
      </c>
      <c r="D46" s="16">
        <v>0</v>
      </c>
      <c r="E46" s="16">
        <f>SUM(C46:D46)</f>
        <v>3</v>
      </c>
      <c r="F46" s="15" t="s">
        <v>118</v>
      </c>
      <c r="G46" s="1"/>
      <c r="H46" s="4"/>
      <c r="I46" s="4"/>
    </row>
    <row r="47" spans="1:9" s="8" customFormat="1" ht="16" customHeight="1" x14ac:dyDescent="0.4">
      <c r="A47" s="46" t="s">
        <v>103</v>
      </c>
      <c r="B47" s="53" t="s">
        <v>200</v>
      </c>
      <c r="C47" s="47">
        <v>2</v>
      </c>
      <c r="D47" s="47">
        <v>0</v>
      </c>
      <c r="E47" s="47">
        <v>2</v>
      </c>
      <c r="F47" s="46" t="s">
        <v>105</v>
      </c>
      <c r="G47" s="1"/>
      <c r="H47" s="4"/>
      <c r="I47" s="4"/>
    </row>
    <row r="48" spans="1:9" s="4" customFormat="1" ht="16" customHeight="1" x14ac:dyDescent="0.4">
      <c r="A48" s="15"/>
      <c r="B48" s="54" t="s">
        <v>202</v>
      </c>
      <c r="C48" s="102" t="s">
        <v>24</v>
      </c>
      <c r="D48" s="102"/>
      <c r="E48" s="29">
        <f>SUM(E40:E47)</f>
        <v>23</v>
      </c>
      <c r="F48" s="15"/>
      <c r="G48" s="1"/>
    </row>
    <row r="49" spans="1:9" s="4" customFormat="1" ht="14.5" customHeight="1" x14ac:dyDescent="0.4">
      <c r="A49" s="106" t="s">
        <v>60</v>
      </c>
      <c r="B49" s="106"/>
      <c r="C49" s="106"/>
      <c r="D49" s="106"/>
      <c r="E49" s="106"/>
      <c r="F49" s="106"/>
      <c r="G49" s="1"/>
    </row>
    <row r="50" spans="1:9" s="10" customFormat="1" ht="16" customHeight="1" x14ac:dyDescent="0.4">
      <c r="A50" s="15" t="s">
        <v>61</v>
      </c>
      <c r="B50" s="15" t="s">
        <v>62</v>
      </c>
      <c r="C50" s="16">
        <v>3</v>
      </c>
      <c r="D50" s="16">
        <v>0</v>
      </c>
      <c r="E50" s="16">
        <f t="shared" ref="E50" si="6">SUM(C50:D50)</f>
        <v>3</v>
      </c>
      <c r="F50" s="15" t="s">
        <v>38</v>
      </c>
      <c r="G50" s="1"/>
      <c r="H50" s="4"/>
      <c r="I50" s="4"/>
    </row>
    <row r="51" spans="1:9" s="10" customFormat="1" ht="16" customHeight="1" x14ac:dyDescent="0.4">
      <c r="A51" s="20" t="s">
        <v>148</v>
      </c>
      <c r="B51" s="20" t="s">
        <v>189</v>
      </c>
      <c r="C51" s="21">
        <v>3</v>
      </c>
      <c r="D51" s="21">
        <v>0</v>
      </c>
      <c r="E51" s="21">
        <v>3</v>
      </c>
      <c r="F51" s="20" t="s">
        <v>51</v>
      </c>
      <c r="G51" s="1"/>
    </row>
    <row r="52" spans="1:9" s="9" customFormat="1" ht="16" customHeight="1" x14ac:dyDescent="0.4">
      <c r="A52" s="20" t="s">
        <v>147</v>
      </c>
      <c r="B52" s="20" t="s">
        <v>205</v>
      </c>
      <c r="C52" s="21">
        <v>2</v>
      </c>
      <c r="D52" s="21">
        <v>1</v>
      </c>
      <c r="E52" s="21">
        <v>3</v>
      </c>
      <c r="F52" s="20" t="s">
        <v>63</v>
      </c>
      <c r="G52" s="1"/>
      <c r="H52" s="4"/>
      <c r="I52" s="4"/>
    </row>
    <row r="53" spans="1:9" s="9" customFormat="1" ht="16" customHeight="1" x14ac:dyDescent="0.4">
      <c r="A53" s="20" t="s">
        <v>137</v>
      </c>
      <c r="B53" s="20" t="s">
        <v>136</v>
      </c>
      <c r="C53" s="21">
        <v>2</v>
      </c>
      <c r="D53" s="21">
        <v>1</v>
      </c>
      <c r="E53" s="16">
        <f>SUM(C53:D53)</f>
        <v>3</v>
      </c>
      <c r="F53" s="15" t="s">
        <v>10</v>
      </c>
      <c r="G53" s="1"/>
    </row>
    <row r="54" spans="1:9" s="55" customFormat="1" ht="16" customHeight="1" x14ac:dyDescent="0.4">
      <c r="A54" s="46" t="s">
        <v>178</v>
      </c>
      <c r="B54" s="46" t="s">
        <v>179</v>
      </c>
      <c r="C54" s="47">
        <v>2</v>
      </c>
      <c r="D54" s="47">
        <v>1</v>
      </c>
      <c r="E54" s="47">
        <f t="shared" ref="E54" si="7">SUM(C54:D54)</f>
        <v>3</v>
      </c>
      <c r="F54" s="46" t="s">
        <v>118</v>
      </c>
      <c r="G54" s="48"/>
      <c r="H54" s="49"/>
      <c r="I54" s="49"/>
    </row>
    <row r="55" spans="1:9" s="9" customFormat="1" ht="16" customHeight="1" x14ac:dyDescent="0.4">
      <c r="A55" s="15" t="s">
        <v>134</v>
      </c>
      <c r="B55" s="15" t="s">
        <v>67</v>
      </c>
      <c r="C55" s="16">
        <v>2</v>
      </c>
      <c r="D55" s="16">
        <v>1</v>
      </c>
      <c r="E55" s="16">
        <f>SUM(C55:D55)</f>
        <v>3</v>
      </c>
      <c r="F55" s="15" t="s">
        <v>118</v>
      </c>
      <c r="G55" s="1"/>
      <c r="H55" s="4"/>
      <c r="I55" s="4"/>
    </row>
    <row r="56" spans="1:9" s="11" customFormat="1" ht="16" customHeight="1" x14ac:dyDescent="0.4">
      <c r="A56" s="20" t="s">
        <v>151</v>
      </c>
      <c r="B56" s="20" t="s">
        <v>66</v>
      </c>
      <c r="C56" s="21">
        <v>2</v>
      </c>
      <c r="D56" s="21">
        <v>1</v>
      </c>
      <c r="E56" s="21">
        <v>3</v>
      </c>
      <c r="F56" s="20" t="s">
        <v>149</v>
      </c>
      <c r="G56" s="1"/>
      <c r="H56" s="4"/>
      <c r="I56" s="4"/>
    </row>
    <row r="57" spans="1:9" s="4" customFormat="1" ht="16" customHeight="1" x14ac:dyDescent="0.4">
      <c r="A57" s="15" t="s">
        <v>73</v>
      </c>
      <c r="B57" s="15" t="s">
        <v>74</v>
      </c>
      <c r="C57" s="16">
        <v>3</v>
      </c>
      <c r="D57" s="16">
        <v>0</v>
      </c>
      <c r="E57" s="16">
        <f>SUM(C57:D57)</f>
        <v>3</v>
      </c>
      <c r="F57" s="15" t="s">
        <v>118</v>
      </c>
      <c r="G57" s="1"/>
    </row>
    <row r="58" spans="1:9" s="4" customFormat="1" ht="16" customHeight="1" x14ac:dyDescent="0.4">
      <c r="A58" s="15"/>
      <c r="B58" s="15"/>
      <c r="C58" s="102" t="s">
        <v>24</v>
      </c>
      <c r="D58" s="102"/>
      <c r="E58" s="29">
        <f>SUM(E50:E57)</f>
        <v>24</v>
      </c>
      <c r="F58" s="15"/>
      <c r="G58" s="1"/>
    </row>
    <row r="59" spans="1:9" s="9" customFormat="1" ht="14.5" customHeight="1" x14ac:dyDescent="0.4">
      <c r="A59" s="106" t="s">
        <v>68</v>
      </c>
      <c r="B59" s="106"/>
      <c r="C59" s="106"/>
      <c r="D59" s="106"/>
      <c r="E59" s="106"/>
      <c r="F59" s="106"/>
      <c r="G59" s="1"/>
      <c r="H59" s="4"/>
      <c r="I59" s="4"/>
    </row>
    <row r="60" spans="1:9" s="56" customFormat="1" ht="16" customHeight="1" x14ac:dyDescent="0.4">
      <c r="A60" s="46" t="s">
        <v>176</v>
      </c>
      <c r="B60" s="46" t="s">
        <v>177</v>
      </c>
      <c r="C60" s="47">
        <v>2</v>
      </c>
      <c r="D60" s="47">
        <v>1</v>
      </c>
      <c r="E60" s="47">
        <f>SUM(C60:D60)</f>
        <v>3</v>
      </c>
      <c r="F60" s="46" t="s">
        <v>178</v>
      </c>
      <c r="G60" s="48"/>
      <c r="H60" s="49"/>
      <c r="I60" s="49"/>
    </row>
    <row r="61" spans="1:9" s="12" customFormat="1" ht="16" customHeight="1" x14ac:dyDescent="0.4">
      <c r="A61" s="15" t="s">
        <v>145</v>
      </c>
      <c r="B61" s="15" t="s">
        <v>69</v>
      </c>
      <c r="C61" s="16">
        <v>3</v>
      </c>
      <c r="D61" s="16">
        <v>0</v>
      </c>
      <c r="E61" s="16">
        <f>SUM(C61:D61)</f>
        <v>3</v>
      </c>
      <c r="F61" s="15" t="s">
        <v>61</v>
      </c>
      <c r="G61" s="1"/>
      <c r="H61" s="4"/>
      <c r="I61" s="4"/>
    </row>
    <row r="62" spans="1:9" s="9" customFormat="1" ht="16" customHeight="1" x14ac:dyDescent="0.4">
      <c r="A62" s="20" t="s">
        <v>150</v>
      </c>
      <c r="B62" s="20" t="s">
        <v>188</v>
      </c>
      <c r="C62" s="21">
        <v>2</v>
      </c>
      <c r="D62" s="21">
        <v>1</v>
      </c>
      <c r="E62" s="21">
        <v>3</v>
      </c>
      <c r="F62" s="20" t="s">
        <v>147</v>
      </c>
      <c r="G62" s="1"/>
      <c r="H62" s="4"/>
      <c r="I62" s="4"/>
    </row>
    <row r="63" spans="1:9" s="9" customFormat="1" ht="16" customHeight="1" x14ac:dyDescent="0.4">
      <c r="A63" s="15" t="s">
        <v>70</v>
      </c>
      <c r="B63" s="15" t="s">
        <v>71</v>
      </c>
      <c r="C63" s="16">
        <v>3</v>
      </c>
      <c r="D63" s="16">
        <v>0</v>
      </c>
      <c r="E63" s="16">
        <f>SUM(C63:D63)</f>
        <v>3</v>
      </c>
      <c r="F63" s="15" t="s">
        <v>148</v>
      </c>
      <c r="G63" s="1"/>
      <c r="H63" s="4"/>
      <c r="I63" s="4"/>
    </row>
    <row r="64" spans="1:9" s="9" customFormat="1" ht="16" customHeight="1" x14ac:dyDescent="0.4">
      <c r="A64" s="15" t="s">
        <v>135</v>
      </c>
      <c r="B64" s="15" t="s">
        <v>72</v>
      </c>
      <c r="C64" s="16">
        <v>2</v>
      </c>
      <c r="D64" s="16">
        <v>1</v>
      </c>
      <c r="E64" s="16">
        <f t="shared" ref="E64" si="8">SUM(C64:D64)</f>
        <v>3</v>
      </c>
      <c r="F64" s="15" t="s">
        <v>118</v>
      </c>
      <c r="G64" s="1"/>
      <c r="H64" s="4"/>
      <c r="I64" s="4"/>
    </row>
    <row r="65" spans="1:9" s="49" customFormat="1" ht="16" customHeight="1" x14ac:dyDescent="0.4">
      <c r="A65" s="46" t="s">
        <v>197</v>
      </c>
      <c r="B65" s="46" t="s">
        <v>206</v>
      </c>
      <c r="C65" s="47">
        <v>3</v>
      </c>
      <c r="D65" s="47">
        <v>0</v>
      </c>
      <c r="E65" s="47">
        <v>3</v>
      </c>
      <c r="F65" s="46" t="s">
        <v>18</v>
      </c>
      <c r="G65" s="48"/>
    </row>
    <row r="66" spans="1:9" s="4" customFormat="1" ht="16" customHeight="1" x14ac:dyDescent="0.4">
      <c r="A66" s="15" t="s">
        <v>55</v>
      </c>
      <c r="B66" s="15" t="s">
        <v>56</v>
      </c>
      <c r="C66" s="19">
        <v>3</v>
      </c>
      <c r="D66" s="16">
        <v>0</v>
      </c>
      <c r="E66" s="19" t="s">
        <v>23</v>
      </c>
      <c r="F66" s="15" t="s">
        <v>118</v>
      </c>
      <c r="G66" s="1"/>
    </row>
    <row r="67" spans="1:9" s="4" customFormat="1" ht="18" customHeight="1" x14ac:dyDescent="0.4">
      <c r="A67" s="15"/>
      <c r="B67" s="15"/>
      <c r="C67" s="102" t="s">
        <v>24</v>
      </c>
      <c r="D67" s="102"/>
      <c r="E67" s="29">
        <f>SUM(E60:E66)</f>
        <v>18</v>
      </c>
      <c r="F67" s="15"/>
      <c r="G67" s="1"/>
    </row>
    <row r="68" spans="1:9" s="10" customFormat="1" ht="14.5" customHeight="1" x14ac:dyDescent="0.4">
      <c r="A68" s="106" t="s">
        <v>75</v>
      </c>
      <c r="B68" s="106"/>
      <c r="C68" s="106"/>
      <c r="D68" s="106"/>
      <c r="E68" s="106"/>
      <c r="F68" s="106"/>
      <c r="G68" s="1"/>
      <c r="H68" s="4"/>
      <c r="I68" s="4"/>
    </row>
    <row r="69" spans="1:9" s="10" customFormat="1" ht="16" customHeight="1" x14ac:dyDescent="0.4">
      <c r="A69" s="15" t="s">
        <v>78</v>
      </c>
      <c r="B69" s="15" t="s">
        <v>79</v>
      </c>
      <c r="C69" s="16">
        <v>3</v>
      </c>
      <c r="D69" s="16">
        <v>0</v>
      </c>
      <c r="E69" s="16">
        <f t="shared" ref="E69:E71" si="9">SUM(C69:D69)</f>
        <v>3</v>
      </c>
      <c r="F69" s="15" t="s">
        <v>40</v>
      </c>
      <c r="G69" s="1"/>
      <c r="H69" s="4"/>
      <c r="I69" s="4"/>
    </row>
    <row r="70" spans="1:9" s="10" customFormat="1" ht="16" customHeight="1" x14ac:dyDescent="0.4">
      <c r="A70" s="20" t="s">
        <v>76</v>
      </c>
      <c r="B70" s="20" t="s">
        <v>77</v>
      </c>
      <c r="C70" s="21">
        <v>2</v>
      </c>
      <c r="D70" s="21">
        <v>1</v>
      </c>
      <c r="E70" s="16">
        <f t="shared" si="9"/>
        <v>3</v>
      </c>
      <c r="F70" s="15" t="s">
        <v>10</v>
      </c>
      <c r="G70" s="1"/>
      <c r="H70" s="4"/>
      <c r="I70" s="4"/>
    </row>
    <row r="71" spans="1:9" s="4" customFormat="1" ht="16" customHeight="1" x14ac:dyDescent="0.4">
      <c r="A71" s="15" t="s">
        <v>64</v>
      </c>
      <c r="B71" s="15" t="s">
        <v>65</v>
      </c>
      <c r="C71" s="16">
        <v>3</v>
      </c>
      <c r="D71" s="16">
        <v>0</v>
      </c>
      <c r="E71" s="16">
        <f t="shared" si="9"/>
        <v>3</v>
      </c>
      <c r="F71" s="15" t="s">
        <v>38</v>
      </c>
      <c r="G71" s="1"/>
    </row>
    <row r="72" spans="1:9" s="4" customFormat="1" ht="14.5" customHeight="1" x14ac:dyDescent="0.4">
      <c r="A72" s="15"/>
      <c r="B72" s="15"/>
      <c r="C72" s="102" t="s">
        <v>24</v>
      </c>
      <c r="D72" s="102"/>
      <c r="E72" s="29">
        <f>SUM(E69:E71)</f>
        <v>9</v>
      </c>
      <c r="F72" s="15"/>
      <c r="G72" s="1"/>
    </row>
    <row r="73" spans="1:9" s="9" customFormat="1" ht="14.5" customHeight="1" x14ac:dyDescent="0.4">
      <c r="A73" s="110" t="s">
        <v>80</v>
      </c>
      <c r="B73" s="110"/>
      <c r="C73" s="110"/>
      <c r="D73" s="110"/>
      <c r="E73" s="110"/>
      <c r="F73" s="110"/>
      <c r="G73" s="1"/>
    </row>
    <row r="74" spans="1:9" s="9" customFormat="1" ht="16" customHeight="1" x14ac:dyDescent="0.4">
      <c r="A74" s="20" t="s">
        <v>153</v>
      </c>
      <c r="B74" s="20" t="s">
        <v>82</v>
      </c>
      <c r="C74" s="21">
        <v>3</v>
      </c>
      <c r="D74" s="21">
        <v>0</v>
      </c>
      <c r="E74" s="21">
        <v>3</v>
      </c>
      <c r="F74" s="20" t="s">
        <v>118</v>
      </c>
      <c r="G74" s="1"/>
      <c r="H74" s="4"/>
      <c r="I74" s="4"/>
    </row>
    <row r="75" spans="1:9" s="10" customFormat="1" ht="16" customHeight="1" x14ac:dyDescent="0.4">
      <c r="A75" s="20" t="s">
        <v>152</v>
      </c>
      <c r="B75" s="20" t="s">
        <v>81</v>
      </c>
      <c r="C75" s="21">
        <v>2</v>
      </c>
      <c r="D75" s="21">
        <v>1</v>
      </c>
      <c r="E75" s="21">
        <v>3</v>
      </c>
      <c r="F75" s="20" t="s">
        <v>29</v>
      </c>
      <c r="G75" s="1"/>
      <c r="H75" s="4"/>
      <c r="I75" s="4"/>
    </row>
    <row r="76" spans="1:9" s="12" customFormat="1" ht="16" customHeight="1" x14ac:dyDescent="0.4">
      <c r="A76" s="15" t="s">
        <v>86</v>
      </c>
      <c r="B76" s="15" t="s">
        <v>87</v>
      </c>
      <c r="C76" s="16">
        <v>3</v>
      </c>
      <c r="D76" s="16">
        <v>0</v>
      </c>
      <c r="E76" s="21">
        <f t="shared" ref="E76:E79" si="10">SUM(C76:D76)</f>
        <v>3</v>
      </c>
      <c r="F76" s="15" t="s">
        <v>10</v>
      </c>
      <c r="G76" s="1"/>
      <c r="H76" s="4"/>
      <c r="I76" s="4"/>
    </row>
    <row r="77" spans="1:9" s="11" customFormat="1" ht="16" customHeight="1" x14ac:dyDescent="0.4">
      <c r="A77" s="20" t="s">
        <v>83</v>
      </c>
      <c r="B77" s="20" t="s">
        <v>84</v>
      </c>
      <c r="C77" s="21">
        <v>3</v>
      </c>
      <c r="D77" s="21">
        <v>0</v>
      </c>
      <c r="E77" s="21">
        <f t="shared" si="10"/>
        <v>3</v>
      </c>
      <c r="F77" s="20" t="s">
        <v>70</v>
      </c>
      <c r="G77" s="1"/>
      <c r="H77" s="4"/>
      <c r="I77" s="4"/>
    </row>
    <row r="78" spans="1:9" s="6" customFormat="1" ht="16" customHeight="1" x14ac:dyDescent="0.4">
      <c r="A78" s="20" t="s">
        <v>138</v>
      </c>
      <c r="B78" s="20" t="s">
        <v>85</v>
      </c>
      <c r="C78" s="21">
        <v>2</v>
      </c>
      <c r="D78" s="21">
        <v>1</v>
      </c>
      <c r="E78" s="21">
        <f t="shared" si="10"/>
        <v>3</v>
      </c>
      <c r="F78" s="15" t="s">
        <v>118</v>
      </c>
      <c r="G78" s="1"/>
      <c r="H78" s="4"/>
      <c r="I78" s="4"/>
    </row>
    <row r="79" spans="1:9" s="6" customFormat="1" ht="16" customHeight="1" x14ac:dyDescent="0.4">
      <c r="A79" s="15" t="s">
        <v>88</v>
      </c>
      <c r="B79" s="15" t="s">
        <v>89</v>
      </c>
      <c r="C79" s="16">
        <v>3</v>
      </c>
      <c r="D79" s="16">
        <v>0</v>
      </c>
      <c r="E79" s="21">
        <f t="shared" si="10"/>
        <v>3</v>
      </c>
      <c r="F79" s="15" t="s">
        <v>118</v>
      </c>
      <c r="G79" s="1"/>
      <c r="H79" s="4"/>
      <c r="I79" s="4"/>
    </row>
    <row r="80" spans="1:9" s="4" customFormat="1" ht="16" customHeight="1" x14ac:dyDescent="0.4">
      <c r="A80" s="15"/>
      <c r="B80" s="15"/>
      <c r="C80" s="102" t="s">
        <v>24</v>
      </c>
      <c r="D80" s="102"/>
      <c r="E80" s="29">
        <f>SUM(E74:E79)</f>
        <v>18</v>
      </c>
      <c r="F80" s="15"/>
      <c r="G80" s="1"/>
    </row>
    <row r="81" spans="1:9" s="4" customFormat="1" ht="14.5" customHeight="1" x14ac:dyDescent="0.4">
      <c r="A81" s="110" t="s">
        <v>90</v>
      </c>
      <c r="B81" s="110"/>
      <c r="C81" s="110"/>
      <c r="D81" s="110"/>
      <c r="E81" s="110"/>
      <c r="F81" s="110"/>
      <c r="G81" s="1"/>
    </row>
    <row r="82" spans="1:9" s="12" customFormat="1" ht="16" customHeight="1" x14ac:dyDescent="0.4">
      <c r="A82" s="20" t="s">
        <v>139</v>
      </c>
      <c r="B82" s="20" t="s">
        <v>100</v>
      </c>
      <c r="C82" s="21">
        <v>6</v>
      </c>
      <c r="D82" s="21">
        <v>0</v>
      </c>
      <c r="E82" s="21">
        <v>6</v>
      </c>
      <c r="F82" s="20" t="s">
        <v>106</v>
      </c>
      <c r="G82" s="1"/>
      <c r="H82" s="4"/>
      <c r="I82" s="4"/>
    </row>
    <row r="83" spans="1:9" s="4" customFormat="1" ht="14.5" customHeight="1" x14ac:dyDescent="0.4">
      <c r="A83" s="20"/>
      <c r="B83" s="20"/>
      <c r="C83" s="111" t="s">
        <v>24</v>
      </c>
      <c r="D83" s="111"/>
      <c r="E83" s="30">
        <f>SUM(E82)</f>
        <v>6</v>
      </c>
      <c r="F83" s="20"/>
      <c r="G83" s="1"/>
    </row>
    <row r="84" spans="1:9" s="4" customFormat="1" ht="14.5" customHeight="1" x14ac:dyDescent="0.4">
      <c r="A84" s="107" t="s">
        <v>91</v>
      </c>
      <c r="B84" s="108"/>
      <c r="C84" s="108"/>
      <c r="D84" s="108"/>
      <c r="E84" s="108"/>
      <c r="F84" s="109"/>
      <c r="G84" s="1"/>
    </row>
    <row r="85" spans="1:9" s="4" customFormat="1" ht="16" customHeight="1" x14ac:dyDescent="0.4">
      <c r="A85" s="20" t="s">
        <v>186</v>
      </c>
      <c r="B85" s="20" t="s">
        <v>187</v>
      </c>
      <c r="C85" s="21">
        <v>2</v>
      </c>
      <c r="D85" s="21">
        <v>1</v>
      </c>
      <c r="E85" s="21">
        <v>3</v>
      </c>
      <c r="F85" s="20" t="s">
        <v>118</v>
      </c>
      <c r="G85" s="1"/>
    </row>
    <row r="86" spans="1:9" s="4" customFormat="1" ht="16" customHeight="1" x14ac:dyDescent="0.4">
      <c r="A86" s="20" t="s">
        <v>97</v>
      </c>
      <c r="B86" s="20" t="s">
        <v>98</v>
      </c>
      <c r="C86" s="21">
        <v>2</v>
      </c>
      <c r="D86" s="21">
        <v>1</v>
      </c>
      <c r="E86" s="21">
        <v>3</v>
      </c>
      <c r="F86" s="20" t="s">
        <v>118</v>
      </c>
      <c r="G86" s="1"/>
    </row>
    <row r="87" spans="1:9" s="4" customFormat="1" ht="16" customHeight="1" x14ac:dyDescent="0.4">
      <c r="A87" s="20" t="s">
        <v>92</v>
      </c>
      <c r="B87" s="20" t="s">
        <v>93</v>
      </c>
      <c r="C87" s="21">
        <v>2</v>
      </c>
      <c r="D87" s="21">
        <v>1</v>
      </c>
      <c r="E87" s="21">
        <v>3</v>
      </c>
      <c r="F87" s="20" t="s">
        <v>118</v>
      </c>
      <c r="G87" s="1"/>
    </row>
    <row r="88" spans="1:9" s="4" customFormat="1" ht="16" customHeight="1" x14ac:dyDescent="0.4">
      <c r="A88" s="20" t="s">
        <v>95</v>
      </c>
      <c r="B88" s="20" t="s">
        <v>96</v>
      </c>
      <c r="C88" s="21">
        <v>2</v>
      </c>
      <c r="D88" s="21">
        <v>1</v>
      </c>
      <c r="E88" s="21">
        <v>3</v>
      </c>
      <c r="F88" s="20" t="s">
        <v>118</v>
      </c>
      <c r="G88" s="1"/>
    </row>
    <row r="89" spans="1:9" s="4" customFormat="1" ht="14.5" customHeight="1" x14ac:dyDescent="0.4">
      <c r="A89" s="107" t="s">
        <v>107</v>
      </c>
      <c r="B89" s="108"/>
      <c r="C89" s="108"/>
      <c r="D89" s="108"/>
      <c r="E89" s="108"/>
      <c r="F89" s="109"/>
      <c r="G89" s="1"/>
    </row>
    <row r="90" spans="1:9" s="4" customFormat="1" ht="16" customHeight="1" x14ac:dyDescent="0.4">
      <c r="A90" s="20" t="s">
        <v>146</v>
      </c>
      <c r="B90" s="20" t="s">
        <v>33</v>
      </c>
      <c r="C90" s="21">
        <v>3</v>
      </c>
      <c r="D90" s="21">
        <v>0</v>
      </c>
      <c r="E90" s="21">
        <v>3</v>
      </c>
      <c r="F90" s="20" t="s">
        <v>20</v>
      </c>
      <c r="G90" s="1"/>
    </row>
    <row r="91" spans="1:9" s="4" customFormat="1" ht="16" customHeight="1" x14ac:dyDescent="0.4">
      <c r="A91" s="20" t="s">
        <v>154</v>
      </c>
      <c r="B91" s="20" t="s">
        <v>175</v>
      </c>
      <c r="C91" s="21">
        <v>3</v>
      </c>
      <c r="D91" s="21">
        <v>0</v>
      </c>
      <c r="E91" s="21">
        <v>3</v>
      </c>
      <c r="F91" s="20" t="s">
        <v>146</v>
      </c>
      <c r="G91" s="1"/>
    </row>
    <row r="92" spans="1:9" s="4" customFormat="1" ht="16" customHeight="1" x14ac:dyDescent="0.4">
      <c r="A92" s="20" t="s">
        <v>155</v>
      </c>
      <c r="B92" s="20" t="s">
        <v>54</v>
      </c>
      <c r="C92" s="21">
        <v>3</v>
      </c>
      <c r="D92" s="21">
        <v>0</v>
      </c>
      <c r="E92" s="21">
        <v>3</v>
      </c>
      <c r="F92" s="20" t="s">
        <v>146</v>
      </c>
      <c r="G92" s="1"/>
    </row>
    <row r="93" spans="1:9" s="4" customFormat="1" ht="14.5" customHeight="1" x14ac:dyDescent="0.4">
      <c r="A93" s="107" t="s">
        <v>210</v>
      </c>
      <c r="B93" s="108"/>
      <c r="C93" s="108"/>
      <c r="D93" s="108"/>
      <c r="E93" s="108"/>
      <c r="F93" s="109"/>
      <c r="G93" s="1"/>
    </row>
    <row r="94" spans="1:9" s="4" customFormat="1" ht="16" customHeight="1" x14ac:dyDescent="0.4">
      <c r="A94" s="20" t="s">
        <v>194</v>
      </c>
      <c r="B94" s="20" t="s">
        <v>28</v>
      </c>
      <c r="C94" s="21">
        <v>3</v>
      </c>
      <c r="D94" s="21">
        <v>0</v>
      </c>
      <c r="E94" s="21">
        <v>3</v>
      </c>
      <c r="F94" s="20" t="s">
        <v>18</v>
      </c>
      <c r="G94" s="1"/>
    </row>
    <row r="95" spans="1:9" s="4" customFormat="1" ht="16" customHeight="1" x14ac:dyDescent="0.4">
      <c r="A95" s="20" t="s">
        <v>197</v>
      </c>
      <c r="B95" s="20" t="s">
        <v>206</v>
      </c>
      <c r="C95" s="21">
        <v>3</v>
      </c>
      <c r="D95" s="21">
        <v>0</v>
      </c>
      <c r="E95" s="21">
        <v>3</v>
      </c>
      <c r="F95" s="20" t="s">
        <v>18</v>
      </c>
      <c r="G95" s="1"/>
    </row>
    <row r="96" spans="1:9" s="4" customFormat="1" ht="14.5" customHeight="1" x14ac:dyDescent="0.4">
      <c r="A96" s="107" t="s">
        <v>99</v>
      </c>
      <c r="B96" s="108"/>
      <c r="C96" s="108"/>
      <c r="D96" s="108"/>
      <c r="E96" s="108"/>
      <c r="F96" s="109"/>
      <c r="G96" s="1"/>
    </row>
    <row r="97" spans="1:7" s="4" customFormat="1" ht="16" customHeight="1" x14ac:dyDescent="0.4">
      <c r="A97" s="20" t="s">
        <v>55</v>
      </c>
      <c r="B97" s="20" t="s">
        <v>56</v>
      </c>
      <c r="C97" s="21">
        <v>3</v>
      </c>
      <c r="D97" s="21">
        <v>0</v>
      </c>
      <c r="E97" s="21" t="s">
        <v>23</v>
      </c>
      <c r="F97" s="20" t="s">
        <v>118</v>
      </c>
      <c r="G97" s="1"/>
    </row>
    <row r="98" spans="1:7" s="4" customFormat="1" ht="14.5" customHeight="1" x14ac:dyDescent="0.4">
      <c r="A98" s="1"/>
      <c r="B98" s="1"/>
      <c r="C98" s="3"/>
      <c r="D98" s="3"/>
      <c r="E98" s="3"/>
      <c r="F98" s="1"/>
      <c r="G98" s="1"/>
    </row>
    <row r="99" spans="1:7" s="4" customFormat="1" ht="14.5" customHeight="1" x14ac:dyDescent="0.4">
      <c r="A99" s="1"/>
      <c r="B99" s="15" t="s">
        <v>109</v>
      </c>
      <c r="C99" s="29"/>
      <c r="D99" s="3"/>
      <c r="E99" s="3"/>
      <c r="F99" s="1"/>
      <c r="G99" s="1"/>
    </row>
    <row r="100" spans="1:7" s="4" customFormat="1" ht="14.5" customHeight="1" x14ac:dyDescent="0.4">
      <c r="A100" s="1"/>
      <c r="B100" s="22" t="s">
        <v>121</v>
      </c>
      <c r="C100" s="16">
        <v>27</v>
      </c>
      <c r="D100" s="3"/>
      <c r="E100" s="3"/>
      <c r="F100" s="1"/>
      <c r="G100" s="1"/>
    </row>
    <row r="101" spans="1:7" s="4" customFormat="1" ht="14.5" customHeight="1" x14ac:dyDescent="0.4">
      <c r="A101" s="1"/>
      <c r="B101" s="22" t="s">
        <v>211</v>
      </c>
      <c r="C101" s="16">
        <v>6</v>
      </c>
      <c r="D101" s="3"/>
      <c r="E101" s="3"/>
      <c r="F101" s="1"/>
      <c r="G101" s="1"/>
    </row>
    <row r="102" spans="1:7" s="4" customFormat="1" ht="14.5" customHeight="1" x14ac:dyDescent="0.4">
      <c r="A102" s="1"/>
      <c r="B102" s="22" t="s">
        <v>212</v>
      </c>
      <c r="C102" s="16">
        <v>6</v>
      </c>
      <c r="D102" s="3"/>
      <c r="E102" s="3"/>
      <c r="F102" s="1" t="s">
        <v>120</v>
      </c>
      <c r="G102" s="1"/>
    </row>
    <row r="103" spans="1:7" s="4" customFormat="1" ht="14.5" customHeight="1" x14ac:dyDescent="0.4">
      <c r="A103" s="1"/>
      <c r="B103" s="22" t="s">
        <v>110</v>
      </c>
      <c r="C103" s="16">
        <v>8</v>
      </c>
      <c r="D103" s="3"/>
      <c r="E103" s="3"/>
      <c r="F103" s="1"/>
      <c r="G103" s="1"/>
    </row>
    <row r="104" spans="1:7" s="4" customFormat="1" ht="14.5" customHeight="1" x14ac:dyDescent="0.4">
      <c r="A104" s="1"/>
      <c r="B104" s="22" t="s">
        <v>114</v>
      </c>
      <c r="C104" s="16">
        <v>9</v>
      </c>
      <c r="D104" s="3"/>
      <c r="E104" s="3"/>
      <c r="F104" s="1"/>
      <c r="G104" s="1"/>
    </row>
    <row r="105" spans="1:7" s="4" customFormat="1" ht="14.5" customHeight="1" x14ac:dyDescent="0.4">
      <c r="A105" s="1"/>
      <c r="B105" s="15" t="s">
        <v>116</v>
      </c>
      <c r="C105" s="19" t="s">
        <v>117</v>
      </c>
      <c r="D105" s="3"/>
      <c r="E105" s="3"/>
      <c r="F105" s="1"/>
      <c r="G105" s="1"/>
    </row>
    <row r="106" spans="1:7" s="4" customFormat="1" ht="14.5" customHeight="1" x14ac:dyDescent="0.4">
      <c r="A106" s="1"/>
      <c r="B106" s="15" t="s">
        <v>108</v>
      </c>
      <c r="C106" s="16">
        <v>18</v>
      </c>
      <c r="D106" s="3"/>
      <c r="E106" s="3"/>
      <c r="F106" s="1"/>
      <c r="G106" s="1"/>
    </row>
    <row r="107" spans="1:7" s="4" customFormat="1" ht="14.5" customHeight="1" x14ac:dyDescent="0.4">
      <c r="A107" s="1"/>
      <c r="B107" s="15" t="s">
        <v>111</v>
      </c>
      <c r="C107" s="16">
        <v>54</v>
      </c>
      <c r="D107" s="3"/>
      <c r="E107" s="3"/>
      <c r="F107" s="1"/>
      <c r="G107" s="1"/>
    </row>
    <row r="108" spans="1:7" s="4" customFormat="1" ht="14.5" customHeight="1" x14ac:dyDescent="0.4">
      <c r="A108" s="1"/>
      <c r="B108" s="15" t="s">
        <v>113</v>
      </c>
      <c r="C108" s="16">
        <v>30</v>
      </c>
      <c r="D108" s="3"/>
      <c r="E108" s="3"/>
      <c r="F108" s="1"/>
      <c r="G108" s="1"/>
    </row>
    <row r="109" spans="1:7" s="4" customFormat="1" ht="14.5" customHeight="1" x14ac:dyDescent="0.4">
      <c r="A109" s="1"/>
      <c r="B109" s="15" t="s">
        <v>112</v>
      </c>
      <c r="C109" s="16">
        <v>9</v>
      </c>
      <c r="D109" s="3"/>
      <c r="E109" s="3"/>
      <c r="F109" s="1"/>
      <c r="G109" s="1"/>
    </row>
    <row r="110" spans="1:7" s="4" customFormat="1" ht="14.5" customHeight="1" x14ac:dyDescent="0.4">
      <c r="A110" s="1"/>
      <c r="B110" s="15" t="s">
        <v>115</v>
      </c>
      <c r="C110" s="19" t="s">
        <v>23</v>
      </c>
      <c r="D110" s="3"/>
      <c r="E110" s="3"/>
      <c r="F110" s="1"/>
      <c r="G110" s="1"/>
    </row>
    <row r="111" spans="1:7" s="4" customFormat="1" ht="14.5" customHeight="1" x14ac:dyDescent="0.4">
      <c r="A111" s="1"/>
      <c r="B111" s="23" t="s">
        <v>119</v>
      </c>
      <c r="C111" s="29">
        <f>SUM(C100:C110)</f>
        <v>167</v>
      </c>
      <c r="D111" s="3"/>
      <c r="E111" s="42">
        <f>SUM(E17,E28,E38,E48,E58,E67,E72,E80,E83)</f>
        <v>167</v>
      </c>
      <c r="F111" s="1"/>
      <c r="G111" s="1"/>
    </row>
    <row r="112" spans="1:7" s="4" customFormat="1" ht="14.5" customHeight="1" x14ac:dyDescent="0.4">
      <c r="A112" s="1"/>
      <c r="B112" s="1"/>
      <c r="C112" s="3"/>
      <c r="D112" s="3"/>
      <c r="E112" s="3"/>
      <c r="F112" s="1"/>
      <c r="G112" s="1"/>
    </row>
    <row r="113" spans="1:7" s="4" customFormat="1" ht="14.5" customHeight="1" x14ac:dyDescent="0.4">
      <c r="A113" s="1" t="s">
        <v>123</v>
      </c>
      <c r="B113" s="1"/>
      <c r="D113" s="3"/>
      <c r="E113" s="3"/>
      <c r="F113" s="1"/>
      <c r="G113" s="1"/>
    </row>
    <row r="114" spans="1:7" s="4" customFormat="1" ht="14.5" customHeight="1" x14ac:dyDescent="0.4">
      <c r="A114" s="1"/>
      <c r="B114" s="1"/>
      <c r="D114" s="3"/>
      <c r="E114" s="3"/>
      <c r="F114" s="1"/>
      <c r="G114" s="1"/>
    </row>
    <row r="115" spans="1:7" ht="14.5" customHeight="1" x14ac:dyDescent="0.4">
      <c r="A115" s="25" t="s">
        <v>127</v>
      </c>
      <c r="C115" s="25" t="s">
        <v>125</v>
      </c>
    </row>
    <row r="116" spans="1:7" ht="14.5" customHeight="1" x14ac:dyDescent="0.4">
      <c r="A116" s="1" t="s">
        <v>124</v>
      </c>
      <c r="C116" s="1" t="s">
        <v>126</v>
      </c>
    </row>
    <row r="117" spans="1:7" ht="14.5" customHeight="1" x14ac:dyDescent="0.4">
      <c r="C117" s="1"/>
    </row>
    <row r="118" spans="1:7" ht="14.5" customHeight="1" x14ac:dyDescent="0.4">
      <c r="C118" s="1"/>
    </row>
    <row r="119" spans="1:7" ht="14.5" customHeight="1" x14ac:dyDescent="0.4">
      <c r="A119" s="24" t="s">
        <v>128</v>
      </c>
    </row>
    <row r="120" spans="1:7" ht="14.5" customHeight="1" x14ac:dyDescent="0.4">
      <c r="A120" s="3"/>
      <c r="C120" s="1"/>
    </row>
    <row r="121" spans="1:7" ht="14.5" customHeight="1" x14ac:dyDescent="0.4">
      <c r="A121" s="26" t="s">
        <v>129</v>
      </c>
    </row>
    <row r="122" spans="1:7" ht="14.5" customHeight="1" x14ac:dyDescent="0.4">
      <c r="A122" s="1" t="s">
        <v>130</v>
      </c>
    </row>
    <row r="124" spans="1:7" ht="14.5" customHeight="1" x14ac:dyDescent="0.4">
      <c r="A124" s="24" t="s">
        <v>156</v>
      </c>
      <c r="B124" s="4"/>
      <c r="C124" s="13"/>
      <c r="D124" s="13"/>
      <c r="E124" s="13"/>
      <c r="F124" s="4"/>
    </row>
    <row r="125" spans="1:7" ht="14.5" customHeight="1" x14ac:dyDescent="0.4">
      <c r="C125" s="1"/>
      <c r="D125" s="1"/>
      <c r="E125" s="13"/>
      <c r="F125" s="4"/>
    </row>
    <row r="126" spans="1:7" ht="14.5" customHeight="1" x14ac:dyDescent="0.4">
      <c r="A126" s="25" t="s">
        <v>132</v>
      </c>
      <c r="C126" s="1"/>
      <c r="D126" s="1"/>
      <c r="E126" s="13"/>
      <c r="F126" s="4"/>
    </row>
    <row r="127" spans="1:7" ht="14.5" customHeight="1" x14ac:dyDescent="0.4">
      <c r="A127" s="1" t="s">
        <v>133</v>
      </c>
      <c r="C127" s="1"/>
      <c r="D127" s="1"/>
      <c r="E127" s="13"/>
      <c r="F127" s="4"/>
    </row>
    <row r="128" spans="1:7" ht="14.5" customHeight="1" x14ac:dyDescent="0.4">
      <c r="B128" s="4"/>
      <c r="C128" s="13"/>
      <c r="D128" s="13"/>
      <c r="E128" s="13"/>
      <c r="F128" s="4"/>
    </row>
    <row r="129" spans="1:6" ht="14.5" customHeight="1" x14ac:dyDescent="0.4">
      <c r="B129" s="4"/>
      <c r="C129" s="13"/>
      <c r="D129" s="13"/>
      <c r="E129" s="13"/>
      <c r="F129" s="4"/>
    </row>
    <row r="130" spans="1:6" ht="14.5" customHeight="1" x14ac:dyDescent="0.4">
      <c r="A130" s="4"/>
      <c r="B130" s="4"/>
      <c r="C130" s="13"/>
      <c r="D130" s="13"/>
      <c r="E130" s="13"/>
      <c r="F130" s="4"/>
    </row>
    <row r="131" spans="1:6" ht="14.5" customHeight="1" x14ac:dyDescent="0.4">
      <c r="A131" s="112" t="s">
        <v>214</v>
      </c>
      <c r="B131" s="112"/>
      <c r="C131" s="112"/>
      <c r="D131" s="112"/>
      <c r="E131" s="13"/>
      <c r="F131" s="4"/>
    </row>
    <row r="132" spans="1:6" ht="14.5" customHeight="1" x14ac:dyDescent="0.4">
      <c r="A132" s="112" t="s">
        <v>216</v>
      </c>
      <c r="B132" s="112"/>
      <c r="C132" s="112"/>
      <c r="D132" s="112"/>
      <c r="E132" s="13"/>
      <c r="F132" s="4"/>
    </row>
    <row r="133" spans="1:6" ht="14.5" customHeight="1" x14ac:dyDescent="0.4">
      <c r="A133" s="112" t="s">
        <v>215</v>
      </c>
      <c r="B133" s="112"/>
      <c r="C133" s="112"/>
      <c r="D133" s="112"/>
      <c r="E133" s="13"/>
      <c r="F133" s="4"/>
    </row>
    <row r="134" spans="1:6" ht="14.5" customHeight="1" x14ac:dyDescent="0.4">
      <c r="A134" s="4"/>
      <c r="B134" s="4"/>
      <c r="C134" s="13"/>
      <c r="D134" s="13"/>
      <c r="E134" s="13"/>
      <c r="F134" s="4"/>
    </row>
    <row r="135" spans="1:6" ht="14.5" customHeight="1" x14ac:dyDescent="0.4">
      <c r="A135" s="4"/>
      <c r="B135" s="4"/>
      <c r="C135" s="13"/>
      <c r="D135" s="13"/>
      <c r="E135" s="13"/>
      <c r="F135" s="4"/>
    </row>
    <row r="136" spans="1:6" ht="14.5" customHeight="1" x14ac:dyDescent="0.4">
      <c r="A136" s="4"/>
      <c r="B136" s="4"/>
      <c r="C136" s="13"/>
      <c r="D136" s="13"/>
      <c r="E136" s="13"/>
      <c r="F136" s="4"/>
    </row>
  </sheetData>
  <mergeCells count="29">
    <mergeCell ref="A93:F93"/>
    <mergeCell ref="A96:F96"/>
    <mergeCell ref="A131:D131"/>
    <mergeCell ref="A132:D132"/>
    <mergeCell ref="A133:D133"/>
    <mergeCell ref="A89:F89"/>
    <mergeCell ref="A49:F49"/>
    <mergeCell ref="C58:D58"/>
    <mergeCell ref="A59:F59"/>
    <mergeCell ref="C67:D67"/>
    <mergeCell ref="A68:F68"/>
    <mergeCell ref="C72:D72"/>
    <mergeCell ref="A73:F73"/>
    <mergeCell ref="C80:D80"/>
    <mergeCell ref="A81:F81"/>
    <mergeCell ref="C83:D83"/>
    <mergeCell ref="A84:F84"/>
    <mergeCell ref="C48:D48"/>
    <mergeCell ref="A1:F1"/>
    <mergeCell ref="A2:F2"/>
    <mergeCell ref="A3:F3"/>
    <mergeCell ref="A4:F4"/>
    <mergeCell ref="A7:F7"/>
    <mergeCell ref="C17:D17"/>
    <mergeCell ref="A18:F18"/>
    <mergeCell ref="C28:D28"/>
    <mergeCell ref="A29:F29"/>
    <mergeCell ref="C38:D38"/>
    <mergeCell ref="A39:F39"/>
  </mergeCells>
  <printOptions horizontalCentered="1"/>
  <pageMargins left="0.6692913385826772" right="0.51181102362204722" top="0.27559055118110237" bottom="0.27559055118110237" header="0.31496062992125984" footer="0.31496062992125984"/>
  <pageSetup paperSize="256" scale="85" fitToWidth="0" fitToHeight="0" orientation="portrait" r:id="rId1"/>
  <rowBreaks count="1" manualBreakCount="1">
    <brk id="67" max="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BSCS - FOR PRINTING</vt:lpstr>
      <vt:lpstr>By Category</vt:lpstr>
      <vt:lpstr>Sheet1</vt:lpstr>
      <vt:lpstr>2018-2019</vt:lpstr>
      <vt:lpstr>2019-2020</vt:lpstr>
      <vt:lpstr>2020-2021</vt:lpstr>
      <vt:lpstr>'2018-2019'!Print_Area</vt:lpstr>
      <vt:lpstr>'2019-2020'!Print_Area</vt:lpstr>
      <vt:lpstr>'2020-2021'!Print_Area</vt:lpstr>
      <vt:lpstr>'BSCS - FOR PRINTING'!Print_Area</vt:lpstr>
      <vt:lpstr>'By Category'!Print_Area</vt:lpstr>
      <vt:lpstr>'2018-2019'!Print_Titles</vt:lpstr>
      <vt:lpstr>'2019-2020'!Print_Titles</vt:lpstr>
      <vt:lpstr>'2020-2021'!Print_Titles</vt:lpstr>
      <vt:lpstr>'BSCS - FOR PRINTING'!Print_Titles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Ronielle Antonio</dc:creator>
  <cp:lastModifiedBy>Mark Gil Superio</cp:lastModifiedBy>
  <cp:lastPrinted>2019-10-15T10:22:01Z</cp:lastPrinted>
  <dcterms:created xsi:type="dcterms:W3CDTF">2018-02-05T01:45:42Z</dcterms:created>
  <dcterms:modified xsi:type="dcterms:W3CDTF">2026-06-30T09:27:46Z</dcterms:modified>
</cp:coreProperties>
</file>