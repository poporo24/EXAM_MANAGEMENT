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RRICULUM 2018\"/>
    </mc:Choice>
  </mc:AlternateContent>
  <bookViews>
    <workbookView xWindow="0" yWindow="0" windowWidth="20490" windowHeight="7050"/>
  </bookViews>
  <sheets>
    <sheet name="BSIS Curriculum" sheetId="1" r:id="rId1"/>
    <sheet name="Arrange By Category" sheetId="2" r:id="rId2"/>
  </sheets>
  <definedNames>
    <definedName name="_xlnm.Print_Area" localSheetId="1">'Arrange By Category'!$A$1:$G$115</definedName>
    <definedName name="_xlnm.Print_Area" localSheetId="0">'BSIS Curriculum'!$A$1:$J$132</definedName>
    <definedName name="_xlnm.Print_Titles" localSheetId="1">'Arrange By Category'!$1:$7</definedName>
    <definedName name="_xlnm.Print_Titles" localSheetId="0">'BSIS Curriculum'!$1:$6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99" i="2" l="1"/>
  <c r="E79" i="2"/>
  <c r="E78" i="2"/>
  <c r="E77" i="2"/>
  <c r="E76" i="2"/>
  <c r="E74" i="2"/>
  <c r="E70" i="2"/>
  <c r="E72" i="2" s="1"/>
  <c r="E67" i="2"/>
  <c r="E66" i="2"/>
  <c r="E65" i="2"/>
  <c r="E64" i="2"/>
  <c r="E63" i="2"/>
  <c r="E62" i="2"/>
  <c r="E61" i="2"/>
  <c r="E60" i="2"/>
  <c r="E59" i="2"/>
  <c r="E48" i="2"/>
  <c r="E49" i="2" s="1"/>
  <c r="E33" i="2"/>
  <c r="E10" i="2"/>
  <c r="E9" i="2"/>
  <c r="E15" i="2" s="1"/>
  <c r="E80" i="2" l="1"/>
  <c r="E68" i="2"/>
  <c r="E99" i="2"/>
  <c r="E73" i="1" l="1"/>
  <c r="E65" i="1" l="1"/>
  <c r="E55" i="1"/>
  <c r="E47" i="1"/>
  <c r="E46" i="1"/>
  <c r="E45" i="1"/>
  <c r="E37" i="1"/>
  <c r="E36" i="1"/>
  <c r="E26" i="1"/>
  <c r="E25" i="1"/>
  <c r="E23" i="1"/>
  <c r="E14" i="1"/>
  <c r="E15" i="1"/>
  <c r="E24" i="1"/>
  <c r="E13" i="1"/>
  <c r="E12" i="1"/>
  <c r="E11" i="1"/>
  <c r="E9" i="1"/>
  <c r="E8" i="1"/>
  <c r="E38" i="1" l="1"/>
  <c r="E17" i="1"/>
  <c r="E28" i="1"/>
  <c r="E48" i="1"/>
  <c r="E80" i="1"/>
  <c r="C107" i="1" l="1"/>
  <c r="E57" i="1"/>
  <c r="E67" i="1" l="1"/>
  <c r="E107" i="1" s="1"/>
</calcChain>
</file>

<file path=xl/sharedStrings.xml><?xml version="1.0" encoding="utf-8"?>
<sst xmlns="http://schemas.openxmlformats.org/spreadsheetml/2006/main" count="612" uniqueCount="208">
  <si>
    <t>CITY COLLEGE OF ANGELES</t>
  </si>
  <si>
    <t>INSTITUTE OF COMPUTING STUDIES AND LIBRARY INFORMATION SCIENCE</t>
  </si>
  <si>
    <t>Effective Academic Year 2018-2019</t>
  </si>
  <si>
    <t>SUBJECT CODE</t>
  </si>
  <si>
    <t>SUBJECT DESCRIPTION</t>
  </si>
  <si>
    <t>LEC UNITS</t>
  </si>
  <si>
    <t>LAB UNITS</t>
  </si>
  <si>
    <t>CREDIT UNITS</t>
  </si>
  <si>
    <t>PREREQUISITE(S)</t>
  </si>
  <si>
    <t>FIRST YEAR - FIRST SEMESTER</t>
  </si>
  <si>
    <t>Introduction to Computing</t>
  </si>
  <si>
    <t>NONE</t>
  </si>
  <si>
    <t>Common Courses</t>
  </si>
  <si>
    <t>Fundamentals of Programming</t>
  </si>
  <si>
    <t>Fundamentals of Information Systems</t>
  </si>
  <si>
    <t>Professional Courses</t>
  </si>
  <si>
    <t>UNDSELF</t>
  </si>
  <si>
    <t>Understanding the Self</t>
  </si>
  <si>
    <t>STS</t>
  </si>
  <si>
    <t>Science, Technology, and Society</t>
  </si>
  <si>
    <t>Filipino Requirement</t>
  </si>
  <si>
    <t>PURCOMM</t>
  </si>
  <si>
    <t>Purposive Communication</t>
  </si>
  <si>
    <t>MATHMW</t>
  </si>
  <si>
    <t>Mathematics in the Modern World</t>
  </si>
  <si>
    <t>PE1</t>
  </si>
  <si>
    <t>NSTP1</t>
  </si>
  <si>
    <t>CWTS1 (Environmental Education and Awareness Program)</t>
  </si>
  <si>
    <t>(3)</t>
  </si>
  <si>
    <t>NSTP</t>
  </si>
  <si>
    <t>TOTAL</t>
  </si>
  <si>
    <t>FIRST YEAR - SECOND SEMESTER</t>
  </si>
  <si>
    <t>Intermediate Programming</t>
  </si>
  <si>
    <t>Information Management 1</t>
  </si>
  <si>
    <t xml:space="preserve"> </t>
  </si>
  <si>
    <t>Business Communication</t>
  </si>
  <si>
    <t>Additional Professional Courses</t>
  </si>
  <si>
    <t>ETHICS</t>
  </si>
  <si>
    <t xml:space="preserve">Ethics </t>
  </si>
  <si>
    <t>READPHILHIS</t>
  </si>
  <si>
    <t>Readings in Philippine History</t>
  </si>
  <si>
    <t>PE2</t>
  </si>
  <si>
    <t>NSTP2</t>
  </si>
  <si>
    <t>CWTS2 (Project Development &amp; Implementation: Community Immersion)</t>
  </si>
  <si>
    <t>SECOND YEAR - FIRST SEMESTER</t>
  </si>
  <si>
    <t>Data Structures and Algorithms</t>
  </si>
  <si>
    <t>Application Development and Emerging Technologies</t>
  </si>
  <si>
    <t>Introduction to Networks</t>
  </si>
  <si>
    <t>Web Programming 1</t>
  </si>
  <si>
    <t>Systems Analysis, Design, and Development</t>
  </si>
  <si>
    <t>PE3</t>
  </si>
  <si>
    <t>SECOND YEAR - SECOND SEMESTER</t>
  </si>
  <si>
    <t>Web Programming 2</t>
  </si>
  <si>
    <t>Business Process Management</t>
  </si>
  <si>
    <t>Routing and Switching Essentials</t>
  </si>
  <si>
    <t>Quantitative Methods</t>
  </si>
  <si>
    <t>CONTWORLD</t>
  </si>
  <si>
    <t>The Contemporary World</t>
  </si>
  <si>
    <t>PE4</t>
  </si>
  <si>
    <t>THIRD YEAR - FIRST SEMESTER</t>
  </si>
  <si>
    <t>IS Research</t>
  </si>
  <si>
    <t>IS Project Management</t>
  </si>
  <si>
    <t>THIRD YEAR - SECOND SEMESTER</t>
  </si>
  <si>
    <t>Capstone Project 1</t>
  </si>
  <si>
    <t>Evaluation of Business Process</t>
  </si>
  <si>
    <t>RIZAL</t>
  </si>
  <si>
    <t>Life and Works of Rizal</t>
  </si>
  <si>
    <t>KAPCUL</t>
  </si>
  <si>
    <t>Kapampangan Culture</t>
  </si>
  <si>
    <t>College Requirement</t>
  </si>
  <si>
    <t>THIRD YEAR - SUMMER</t>
  </si>
  <si>
    <t>Enterprise Architecture</t>
  </si>
  <si>
    <t>IS Strategy Management and Acquisition</t>
  </si>
  <si>
    <t>FOURTH YEAR - FIRST SEMESTER</t>
  </si>
  <si>
    <t>Capstone Project 2</t>
  </si>
  <si>
    <t>Organization and Management Concepts</t>
  </si>
  <si>
    <t>Professional Issues in Information Systems</t>
  </si>
  <si>
    <t>ARTAPP</t>
  </si>
  <si>
    <t>Art Appreciation</t>
  </si>
  <si>
    <t>FOURTH YEAR - SECOND SEMESTER</t>
  </si>
  <si>
    <t>Human Computer Interaction</t>
  </si>
  <si>
    <t>General Education</t>
  </si>
  <si>
    <t xml:space="preserve">Physical Education </t>
  </si>
  <si>
    <t>(6)</t>
  </si>
  <si>
    <t>Professional Electives</t>
  </si>
  <si>
    <t>Total Number of Units</t>
  </si>
  <si>
    <t>Core Courses + Rizal</t>
  </si>
  <si>
    <t>Accounting and Financial Management</t>
  </si>
  <si>
    <t>7AFSYS</t>
  </si>
  <si>
    <t>6PROGFUN</t>
  </si>
  <si>
    <t>Business Analytics</t>
  </si>
  <si>
    <t>7BAFUN</t>
  </si>
  <si>
    <t>Business Process Outsourcing</t>
  </si>
  <si>
    <t>7ISFUN</t>
  </si>
  <si>
    <t>7ORGMA</t>
  </si>
  <si>
    <t>7GVCOM</t>
  </si>
  <si>
    <t>Graphics and Visual Computing</t>
  </si>
  <si>
    <t>7SRVCLTR</t>
  </si>
  <si>
    <t>Service Culture</t>
  </si>
  <si>
    <t>Professional Course</t>
  </si>
  <si>
    <t>Information Systems Practicum (500 HOURS)</t>
  </si>
  <si>
    <t>7HCOMINT</t>
  </si>
  <si>
    <t>7BPO</t>
  </si>
  <si>
    <t>7BUSPRO</t>
  </si>
  <si>
    <t>7QUANTI</t>
  </si>
  <si>
    <t>7PIS</t>
  </si>
  <si>
    <t>PE</t>
  </si>
  <si>
    <t>Additional Professional</t>
  </si>
  <si>
    <t>Additional English</t>
  </si>
  <si>
    <t>Recommended Electives</t>
  </si>
  <si>
    <t>6INFOMAN1</t>
  </si>
  <si>
    <t>GRADUATING</t>
  </si>
  <si>
    <t>Enterprise Data Management (Infoman2)</t>
  </si>
  <si>
    <t>7EDM</t>
  </si>
  <si>
    <t>6INTROCOM</t>
  </si>
  <si>
    <t>6ADPROG</t>
  </si>
  <si>
    <t>6DATAS</t>
  </si>
  <si>
    <t>7WEB1</t>
  </si>
  <si>
    <t>7NET1</t>
  </si>
  <si>
    <t>7WEB2</t>
  </si>
  <si>
    <t>7SADD</t>
  </si>
  <si>
    <t>6APPDEV</t>
  </si>
  <si>
    <t xml:space="preserve">7NET2 </t>
  </si>
  <si>
    <t>7EBP</t>
  </si>
  <si>
    <t>7ISR</t>
  </si>
  <si>
    <t>7PROJMAN</t>
  </si>
  <si>
    <t>7NET3</t>
  </si>
  <si>
    <t>7CAP1</t>
  </si>
  <si>
    <t>7ENARCH</t>
  </si>
  <si>
    <t>7ISMA</t>
  </si>
  <si>
    <t>7CAP2</t>
  </si>
  <si>
    <t>7ISPRAC</t>
  </si>
  <si>
    <t>Prepared by:</t>
  </si>
  <si>
    <t>Reviewed and Verified by:</t>
  </si>
  <si>
    <t>Registrar</t>
  </si>
  <si>
    <t>MARK GIL Q. SUPERIO, MIT</t>
  </si>
  <si>
    <t>Dean, ICSLIS</t>
  </si>
  <si>
    <t>Noted by:</t>
  </si>
  <si>
    <t>DR. RICHARD G. DAENOS, LPT, FBE, SFRIEdr, SFRIRes</t>
  </si>
  <si>
    <t>President</t>
  </si>
  <si>
    <t>HARWIN C. MENDOZA, MIT</t>
  </si>
  <si>
    <t>Academic Coordinator, BSIS</t>
  </si>
  <si>
    <t>WAN Technologies</t>
  </si>
  <si>
    <t>Movement Enhancement (Movement Patterns; Exercise-based)</t>
  </si>
  <si>
    <t>Fitness Exercises (Exercise Program-based)</t>
  </si>
  <si>
    <t>ENVISCI</t>
  </si>
  <si>
    <t>Environmental Science</t>
  </si>
  <si>
    <t>Gender and Society</t>
  </si>
  <si>
    <t>LESSANDRO T. YUZON, MPA</t>
  </si>
  <si>
    <t>GRAMCOM</t>
  </si>
  <si>
    <t>Grammar and Composition</t>
  </si>
  <si>
    <t>GENDSOC</t>
  </si>
  <si>
    <t>BUSCOM</t>
  </si>
  <si>
    <t>General Education Electives</t>
  </si>
  <si>
    <t>Movement Enhancement (Movement Patterns; Exercise-Based)</t>
  </si>
  <si>
    <t>PROFELEC1</t>
  </si>
  <si>
    <t>PROFELEC2</t>
  </si>
  <si>
    <t>PROFELEC3</t>
  </si>
  <si>
    <t>7ENTERSYS</t>
  </si>
  <si>
    <t>Enterprise Systems</t>
  </si>
  <si>
    <t>7SYSTHNKNG</t>
  </si>
  <si>
    <t>Principles of Systems Thinking</t>
  </si>
  <si>
    <t>7ANATECH</t>
  </si>
  <si>
    <t>Analytics Techniques and Tools</t>
  </si>
  <si>
    <t>7ANALYTICS</t>
  </si>
  <si>
    <t>7AUDITCON</t>
  </si>
  <si>
    <t>IT Audit and Controls</t>
  </si>
  <si>
    <t>7INNOTECH</t>
  </si>
  <si>
    <t>IS Innovations and New Technologies</t>
  </si>
  <si>
    <t>7ITSEC</t>
  </si>
  <si>
    <t>IT Security and Management</t>
  </si>
  <si>
    <t>7DMINING</t>
  </si>
  <si>
    <t>Data Mining</t>
  </si>
  <si>
    <t>7ANAMOD</t>
  </si>
  <si>
    <t>Analytics Modeling</t>
  </si>
  <si>
    <t>7BUSINT</t>
  </si>
  <si>
    <t>Business Intelligence</t>
  </si>
  <si>
    <t xml:space="preserve">ADDITIONAL ENGLISH </t>
  </si>
  <si>
    <t>COLLEGE REQUIREMENT</t>
  </si>
  <si>
    <t>6INFOMAN</t>
  </si>
  <si>
    <t>Information Management</t>
  </si>
  <si>
    <t>Bachelor of Science in Information Systems with Units in                                                                                                                                              Business Analytics and Service Management Program</t>
  </si>
  <si>
    <t>7DM</t>
  </si>
  <si>
    <t>Professional  Elective 2</t>
  </si>
  <si>
    <t>Professional  Elective 3</t>
  </si>
  <si>
    <t>PROFESSIONAL ELECTIVES (3)</t>
  </si>
  <si>
    <t>Bachelor of Science in Information Systems</t>
  </si>
  <si>
    <t>SUBJECTS ARRANGE BY CATEGORY</t>
  </si>
  <si>
    <t>COMMON COURSES</t>
  </si>
  <si>
    <t>PROFESSIONAL COURSES</t>
  </si>
  <si>
    <t xml:space="preserve">ADDITIONAL PROFESSIONAL COURSES </t>
  </si>
  <si>
    <t xml:space="preserve">Fundamental of Enterprise Data Management (Infoman2) </t>
  </si>
  <si>
    <t xml:space="preserve">Business Analytics </t>
  </si>
  <si>
    <t>GENERAL EDUCATION</t>
  </si>
  <si>
    <t>GENERAL EDUCATION ELECTIVES</t>
  </si>
  <si>
    <t>PHYSICAL EDUCATION</t>
  </si>
  <si>
    <t>Physical Activity Towards Health and Fitness 
(PATH-Fit 1) (Dance and individual/Dual Sports)</t>
  </si>
  <si>
    <t>Physical Activity Towards Health and Fitness 
(PATH-Fit 2) (Team Sports and Laro ng Lahi)</t>
  </si>
  <si>
    <t>LESSANDRO T. YUZON</t>
  </si>
  <si>
    <t>Effective Academic Year 2018-2019 (With Amendments)</t>
  </si>
  <si>
    <t>References:</t>
  </si>
  <si>
    <t>1. CMO No. 25 Series  2015 (Revised PSG for BSCS, BSIS &amp; BSIT Programs</t>
  </si>
  <si>
    <t>2. CMO No. 12, Series 2013 (Business Analytics)</t>
  </si>
  <si>
    <t>3. CMO No. 34, Series 2012 (Service Management Program)</t>
  </si>
  <si>
    <t>4. CMO No. 20, Series 2013 (General Education Curriculum)</t>
  </si>
  <si>
    <r>
      <t xml:space="preserve">Physical Activity Towards Health and Fitness 
</t>
    </r>
    <r>
      <rPr>
        <sz val="9"/>
        <color rgb="FFC00000"/>
        <rFont val="Arial Narrow"/>
        <family val="2"/>
      </rPr>
      <t>(PATH-Fit 1) (Dance and individual/Dual Sports)</t>
    </r>
  </si>
  <si>
    <r>
      <t xml:space="preserve">Physical Activity Towards Health and Fitness 
</t>
    </r>
    <r>
      <rPr>
        <sz val="9"/>
        <color rgb="FFC00000"/>
        <rFont val="Arial Narrow"/>
        <family val="2"/>
      </rPr>
      <t>(PATH-Fit 2) (Team Sports and Laro ng Lahi)</t>
    </r>
  </si>
  <si>
    <t>Professional  Elective 1 (INNOTECH)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</si>
</sst>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6"/>
      <name val="Arial Narrow"/>
      <family val="2"/>
    </font>
    <font>
      <sz val="1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sz val="11"/>
      <color theme="0" tint="-0.249977111117893"/>
      <name val="Arial Narrow"/>
      <family val="2"/>
    </font>
    <font>
      <sz val="9"/>
      <name val="Arial Narrow"/>
      <family val="2"/>
    </font>
    <font>
      <b/>
      <sz val="10"/>
      <name val="Arial Narrow"/>
      <family val="2"/>
    </font>
    <font>
      <b/>
      <sz val="11"/>
      <color rgb="FFC00000"/>
      <name val="Arial Narrow"/>
      <family val="2"/>
    </font>
    <font>
      <sz val="11"/>
      <color theme="0" tint="-0.14999847407452621"/>
      <name val="Arial Narrow"/>
      <family val="2"/>
    </font>
    <font>
      <sz val="11"/>
      <color rgb="FFC00000"/>
      <name val="Arial Narrow"/>
      <family val="2"/>
    </font>
    <font>
      <sz val="10"/>
      <color rgb="FFC00000"/>
      <name val="Arial Narrow"/>
      <family val="2"/>
    </font>
    <font>
      <sz val="9"/>
      <color rgb="FFC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2" xfId="0" quotePrefix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indent="2"/>
    </xf>
    <xf numFmtId="0" fontId="5" fillId="0" borderId="2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2" fillId="0" borderId="2" xfId="0" applyNumberFormat="1" applyFont="1" applyFill="1" applyBorder="1" applyAlignment="1">
      <alignment horizontal="center" vertical="center"/>
    </xf>
    <xf numFmtId="0" fontId="12" fillId="0" borderId="2" xfId="0" quotePrefix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2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vertical="center" wrapText="1"/>
    </xf>
    <xf numFmtId="0" fontId="12" fillId="6" borderId="2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vertical="center"/>
    </xf>
    <xf numFmtId="0" fontId="2" fillId="6" borderId="2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383518</xdr:colOff>
      <xdr:row>0</xdr:row>
      <xdr:rowOff>31220</xdr:rowOff>
    </xdr:from>
    <xdr:to>
      <xdr:col>5</xdr:col>
      <xdr:colOff>1017322</xdr:colOff>
      <xdr:row>2</xdr:row>
      <xdr:rowOff>220763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9409" y="31220"/>
          <a:ext cx="633804" cy="620239"/>
        </a:xfrm>
        <a:prstGeom prst="rect">
          <a:avLst/>
        </a:prstGeom>
      </xdr:spPr>
    </xdr:pic>
    <xdr:clientData/>
  </xdr:twoCellAnchor>
  <xdr:twoCellAnchor editAs="oneCell">
    <xdr:from>
      <xdr:col>0</xdr:col>
      <xdr:colOff>25289</xdr:colOff>
      <xdr:row>0</xdr:row>
      <xdr:rowOff>14655</xdr:rowOff>
    </xdr:from>
    <xdr:to>
      <xdr:col>0</xdr:col>
      <xdr:colOff>622788</xdr:colOff>
      <xdr:row>2</xdr:row>
      <xdr:rowOff>267291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89" y="14655"/>
          <a:ext cx="597499" cy="684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391800</xdr:colOff>
      <xdr:row>0</xdr:row>
      <xdr:rowOff>14655</xdr:rowOff>
    </xdr:from>
    <xdr:to>
      <xdr:col>5</xdr:col>
      <xdr:colOff>1025604</xdr:colOff>
      <xdr:row>3</xdr:row>
      <xdr:rowOff>21981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3550" y="14655"/>
          <a:ext cx="633804" cy="616926"/>
        </a:xfrm>
        <a:prstGeom prst="rect">
          <a:avLst/>
        </a:prstGeom>
      </xdr:spPr>
    </xdr:pic>
    <xdr:clientData/>
  </xdr:twoCellAnchor>
  <xdr:twoCellAnchor editAs="oneCell">
    <xdr:from>
      <xdr:col>0</xdr:col>
      <xdr:colOff>25289</xdr:colOff>
      <xdr:row>0</xdr:row>
      <xdr:rowOff>14655</xdr:rowOff>
    </xdr:from>
    <xdr:to>
      <xdr:col>0</xdr:col>
      <xdr:colOff>548574</xdr:colOff>
      <xdr:row>3</xdr:row>
      <xdr:rowOff>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89" y="14655"/>
          <a:ext cx="523285" cy="5949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tabSelected="1" view="pageBreakPreview" topLeftCell="A61" zoomScale="130" zoomScaleNormal="130" zoomScaleSheetLayoutView="130" workbookViewId="0">
      <selection activeCell="A88" sqref="A88:B88"/>
    </sheetView>
  </sheetViews>
  <sheetFormatPr defaultColWidth="8.85546875" defaultRowHeight="14.45" customHeight="1" x14ac:dyDescent="0.25"/>
  <cols>
    <col min="1" max="1" width="15.7109375" style="1" customWidth="1"/>
    <col min="2" max="2" width="53.42578125" style="1" bestFit="1" customWidth="1"/>
    <col min="3" max="4" width="6.7109375" style="4" customWidth="1"/>
    <col min="5" max="5" width="13.140625" style="4" bestFit="1" customWidth="1"/>
    <col min="6" max="6" width="15.7109375" style="1" customWidth="1"/>
    <col min="7" max="7" width="16.85546875" style="1" hidden="1" customWidth="1"/>
    <col min="8" max="16384" width="8.85546875" style="1"/>
  </cols>
  <sheetData>
    <row r="1" spans="1:10" ht="19.899999999999999" customHeight="1" x14ac:dyDescent="0.25">
      <c r="A1" s="58" t="s">
        <v>0</v>
      </c>
      <c r="B1" s="58"/>
      <c r="C1" s="58"/>
      <c r="D1" s="58"/>
      <c r="E1" s="58"/>
      <c r="F1" s="58"/>
    </row>
    <row r="2" spans="1:10" ht="14.45" customHeight="1" x14ac:dyDescent="0.25">
      <c r="A2" s="59" t="s">
        <v>1</v>
      </c>
      <c r="B2" s="59"/>
      <c r="C2" s="59"/>
      <c r="D2" s="59"/>
      <c r="E2" s="59"/>
      <c r="F2" s="59"/>
      <c r="G2" s="6"/>
    </row>
    <row r="3" spans="1:10" ht="28.5" customHeight="1" x14ac:dyDescent="0.25">
      <c r="A3" s="60" t="s">
        <v>181</v>
      </c>
      <c r="B3" s="60"/>
      <c r="C3" s="60"/>
      <c r="D3" s="60"/>
      <c r="E3" s="60"/>
      <c r="F3" s="60"/>
    </row>
    <row r="4" spans="1:10" ht="14.45" customHeight="1" x14ac:dyDescent="0.25">
      <c r="A4" s="61" t="s">
        <v>199</v>
      </c>
      <c r="B4" s="61"/>
      <c r="C4" s="61"/>
      <c r="D4" s="61"/>
      <c r="E4" s="61"/>
      <c r="F4" s="61"/>
    </row>
    <row r="5" spans="1:10" ht="14.45" customHeight="1" x14ac:dyDescent="0.25">
      <c r="A5" s="62"/>
      <c r="B5" s="62"/>
      <c r="C5" s="62"/>
      <c r="D5" s="62"/>
      <c r="E5" s="62"/>
      <c r="F5" s="62"/>
    </row>
    <row r="6" spans="1:10" s="2" customFormat="1" ht="28.9" customHeight="1" x14ac:dyDescent="0.25">
      <c r="A6" s="19" t="s">
        <v>3</v>
      </c>
      <c r="B6" s="19" t="s">
        <v>4</v>
      </c>
      <c r="C6" s="19" t="s">
        <v>5</v>
      </c>
      <c r="D6" s="19" t="s">
        <v>6</v>
      </c>
      <c r="E6" s="19" t="s">
        <v>7</v>
      </c>
      <c r="F6" s="19" t="s">
        <v>8</v>
      </c>
    </row>
    <row r="7" spans="1:10" s="2" customFormat="1" ht="15" customHeight="1" x14ac:dyDescent="0.25">
      <c r="A7" s="56" t="s">
        <v>9</v>
      </c>
      <c r="B7" s="56"/>
      <c r="C7" s="56"/>
      <c r="D7" s="56"/>
      <c r="E7" s="56"/>
      <c r="F7" s="56"/>
    </row>
    <row r="8" spans="1:10" s="2" customFormat="1" ht="14.45" customHeight="1" x14ac:dyDescent="0.25">
      <c r="A8" s="5" t="s">
        <v>114</v>
      </c>
      <c r="B8" s="5" t="s">
        <v>10</v>
      </c>
      <c r="C8" s="20">
        <v>2</v>
      </c>
      <c r="D8" s="20">
        <v>1</v>
      </c>
      <c r="E8" s="20">
        <f>SUM(C8:D8)</f>
        <v>3</v>
      </c>
      <c r="F8" s="5" t="s">
        <v>11</v>
      </c>
      <c r="G8" s="2" t="s">
        <v>12</v>
      </c>
    </row>
    <row r="9" spans="1:10" s="2" customFormat="1" ht="14.25" customHeight="1" x14ac:dyDescent="0.25">
      <c r="A9" s="5" t="s">
        <v>89</v>
      </c>
      <c r="B9" s="5" t="s">
        <v>13</v>
      </c>
      <c r="C9" s="20">
        <v>2</v>
      </c>
      <c r="D9" s="20">
        <v>1</v>
      </c>
      <c r="E9" s="20">
        <f t="shared" ref="E9:E15" si="0">SUM(C9:D9)</f>
        <v>3</v>
      </c>
      <c r="F9" s="5" t="s">
        <v>11</v>
      </c>
      <c r="G9" s="2" t="s">
        <v>12</v>
      </c>
    </row>
    <row r="10" spans="1:10" s="2" customFormat="1" ht="14.45" customHeight="1" x14ac:dyDescent="0.25">
      <c r="A10" s="5" t="s">
        <v>179</v>
      </c>
      <c r="B10" s="5" t="s">
        <v>180</v>
      </c>
      <c r="C10" s="20">
        <v>2</v>
      </c>
      <c r="D10" s="20">
        <v>1</v>
      </c>
      <c r="E10" s="20">
        <v>3</v>
      </c>
      <c r="F10" s="5" t="s">
        <v>11</v>
      </c>
      <c r="G10" s="2" t="s">
        <v>12</v>
      </c>
      <c r="J10" s="2" t="s">
        <v>34</v>
      </c>
    </row>
    <row r="11" spans="1:10" s="2" customFormat="1" ht="14.45" customHeight="1" x14ac:dyDescent="0.25">
      <c r="A11" s="5" t="s">
        <v>16</v>
      </c>
      <c r="B11" s="5" t="s">
        <v>17</v>
      </c>
      <c r="C11" s="20">
        <v>3</v>
      </c>
      <c r="D11" s="20">
        <v>0</v>
      </c>
      <c r="E11" s="20">
        <f t="shared" si="0"/>
        <v>3</v>
      </c>
      <c r="F11" s="5" t="s">
        <v>11</v>
      </c>
      <c r="G11" s="2" t="s">
        <v>81</v>
      </c>
    </row>
    <row r="12" spans="1:10" s="42" customFormat="1" ht="14.45" customHeight="1" x14ac:dyDescent="0.25">
      <c r="A12" s="40" t="s">
        <v>145</v>
      </c>
      <c r="B12" s="40" t="s">
        <v>146</v>
      </c>
      <c r="C12" s="41">
        <v>3</v>
      </c>
      <c r="D12" s="41">
        <v>0</v>
      </c>
      <c r="E12" s="41">
        <f t="shared" si="0"/>
        <v>3</v>
      </c>
      <c r="F12" s="40" t="s">
        <v>11</v>
      </c>
      <c r="G12" s="42" t="s">
        <v>20</v>
      </c>
    </row>
    <row r="13" spans="1:10" s="2" customFormat="1" ht="14.45" customHeight="1" x14ac:dyDescent="0.25">
      <c r="A13" s="5" t="s">
        <v>21</v>
      </c>
      <c r="B13" s="5" t="s">
        <v>22</v>
      </c>
      <c r="C13" s="20">
        <v>3</v>
      </c>
      <c r="D13" s="20">
        <v>0</v>
      </c>
      <c r="E13" s="20">
        <f>SUM(C13:D13)</f>
        <v>3</v>
      </c>
      <c r="F13" s="5" t="s">
        <v>11</v>
      </c>
      <c r="G13" s="2" t="s">
        <v>81</v>
      </c>
    </row>
    <row r="14" spans="1:10" s="2" customFormat="1" ht="14.45" customHeight="1" x14ac:dyDescent="0.25">
      <c r="A14" s="5" t="s">
        <v>18</v>
      </c>
      <c r="B14" s="5" t="s">
        <v>19</v>
      </c>
      <c r="C14" s="20">
        <v>3</v>
      </c>
      <c r="D14" s="20">
        <v>0</v>
      </c>
      <c r="E14" s="20">
        <f>SUM(C14:D14)</f>
        <v>3</v>
      </c>
      <c r="F14" s="5" t="s">
        <v>11</v>
      </c>
      <c r="G14" s="2" t="s">
        <v>81</v>
      </c>
    </row>
    <row r="15" spans="1:10" s="42" customFormat="1" ht="14.45" customHeight="1" x14ac:dyDescent="0.25">
      <c r="A15" s="40" t="s">
        <v>25</v>
      </c>
      <c r="B15" s="40" t="s">
        <v>154</v>
      </c>
      <c r="C15" s="43">
        <v>2</v>
      </c>
      <c r="D15" s="41">
        <v>0</v>
      </c>
      <c r="E15" s="41">
        <f t="shared" si="0"/>
        <v>2</v>
      </c>
      <c r="F15" s="40" t="s">
        <v>11</v>
      </c>
      <c r="G15" s="42" t="s">
        <v>106</v>
      </c>
    </row>
    <row r="16" spans="1:10" s="2" customFormat="1" ht="15" customHeight="1" x14ac:dyDescent="0.25">
      <c r="A16" s="5" t="s">
        <v>26</v>
      </c>
      <c r="B16" s="9" t="s">
        <v>27</v>
      </c>
      <c r="C16" s="10" t="s">
        <v>28</v>
      </c>
      <c r="D16" s="20">
        <v>0</v>
      </c>
      <c r="E16" s="10" t="s">
        <v>28</v>
      </c>
      <c r="F16" s="5" t="s">
        <v>11</v>
      </c>
      <c r="G16" s="2" t="s">
        <v>29</v>
      </c>
    </row>
    <row r="17" spans="1:7" s="2" customFormat="1" ht="14.45" customHeight="1" x14ac:dyDescent="0.25">
      <c r="A17" s="5"/>
      <c r="B17" s="5"/>
      <c r="C17" s="64" t="s">
        <v>30</v>
      </c>
      <c r="D17" s="64"/>
      <c r="E17" s="39">
        <f>SUM(E8:E16)</f>
        <v>23</v>
      </c>
      <c r="F17" s="5"/>
    </row>
    <row r="18" spans="1:7" s="2" customFormat="1" ht="14.45" customHeight="1" x14ac:dyDescent="0.25">
      <c r="A18" s="56" t="s">
        <v>31</v>
      </c>
      <c r="B18" s="56"/>
      <c r="C18" s="56"/>
      <c r="D18" s="56"/>
      <c r="E18" s="56"/>
      <c r="F18" s="56"/>
    </row>
    <row r="19" spans="1:7" s="2" customFormat="1" ht="14.45" customHeight="1" x14ac:dyDescent="0.25">
      <c r="A19" s="5" t="s">
        <v>115</v>
      </c>
      <c r="B19" s="5" t="s">
        <v>32</v>
      </c>
      <c r="C19" s="20">
        <v>2</v>
      </c>
      <c r="D19" s="20">
        <v>1</v>
      </c>
      <c r="E19" s="20">
        <v>3</v>
      </c>
      <c r="F19" s="5" t="s">
        <v>89</v>
      </c>
      <c r="G19" s="2" t="s">
        <v>12</v>
      </c>
    </row>
    <row r="20" spans="1:7" s="2" customFormat="1" ht="14.45" customHeight="1" x14ac:dyDescent="0.25">
      <c r="A20" s="5" t="s">
        <v>113</v>
      </c>
      <c r="B20" s="5" t="s">
        <v>112</v>
      </c>
      <c r="C20" s="20">
        <v>2</v>
      </c>
      <c r="D20" s="20">
        <v>1</v>
      </c>
      <c r="E20" s="20">
        <v>3</v>
      </c>
      <c r="F20" s="5" t="s">
        <v>110</v>
      </c>
      <c r="G20" s="2" t="s">
        <v>107</v>
      </c>
    </row>
    <row r="21" spans="1:7" s="2" customFormat="1" ht="14.25" customHeight="1" x14ac:dyDescent="0.25">
      <c r="A21" s="5" t="s">
        <v>93</v>
      </c>
      <c r="B21" s="5" t="s">
        <v>14</v>
      </c>
      <c r="C21" s="20">
        <v>2</v>
      </c>
      <c r="D21" s="20">
        <v>1</v>
      </c>
      <c r="E21" s="20">
        <v>3</v>
      </c>
      <c r="F21" s="5" t="s">
        <v>11</v>
      </c>
      <c r="G21" s="2" t="s">
        <v>99</v>
      </c>
    </row>
    <row r="22" spans="1:7" s="2" customFormat="1" ht="14.45" customHeight="1" x14ac:dyDescent="0.25">
      <c r="A22" s="5" t="s">
        <v>94</v>
      </c>
      <c r="B22" s="5" t="s">
        <v>75</v>
      </c>
      <c r="C22" s="20">
        <v>3</v>
      </c>
      <c r="D22" s="20">
        <v>0</v>
      </c>
      <c r="E22" s="20">
        <v>3</v>
      </c>
      <c r="F22" s="5" t="s">
        <v>11</v>
      </c>
      <c r="G22" s="2" t="s">
        <v>99</v>
      </c>
    </row>
    <row r="23" spans="1:7" s="2" customFormat="1" ht="14.45" customHeight="1" x14ac:dyDescent="0.25">
      <c r="A23" s="5" t="s">
        <v>39</v>
      </c>
      <c r="B23" s="5" t="s">
        <v>40</v>
      </c>
      <c r="C23" s="20">
        <v>3</v>
      </c>
      <c r="D23" s="20">
        <v>0</v>
      </c>
      <c r="E23" s="20">
        <f>SUM(C23:D23)</f>
        <v>3</v>
      </c>
      <c r="F23" s="5" t="s">
        <v>11</v>
      </c>
      <c r="G23" s="2" t="s">
        <v>81</v>
      </c>
    </row>
    <row r="24" spans="1:7" s="2" customFormat="1" ht="14.45" customHeight="1" x14ac:dyDescent="0.25">
      <c r="A24" s="5" t="s">
        <v>23</v>
      </c>
      <c r="B24" s="5" t="s">
        <v>24</v>
      </c>
      <c r="C24" s="20">
        <v>3</v>
      </c>
      <c r="D24" s="20">
        <v>0</v>
      </c>
      <c r="E24" s="20">
        <f>SUM(C24:D24)</f>
        <v>3</v>
      </c>
      <c r="F24" s="5" t="s">
        <v>11</v>
      </c>
      <c r="G24" s="2" t="s">
        <v>81</v>
      </c>
    </row>
    <row r="25" spans="1:7" s="42" customFormat="1" ht="14.45" customHeight="1" x14ac:dyDescent="0.25">
      <c r="A25" s="40" t="s">
        <v>151</v>
      </c>
      <c r="B25" s="40" t="s">
        <v>147</v>
      </c>
      <c r="C25" s="41">
        <v>3</v>
      </c>
      <c r="D25" s="41">
        <v>0</v>
      </c>
      <c r="E25" s="41">
        <f t="shared" ref="E25:E26" si="1">SUM(C25:D25)</f>
        <v>3</v>
      </c>
      <c r="F25" s="40" t="s">
        <v>11</v>
      </c>
      <c r="G25" s="42" t="s">
        <v>99</v>
      </c>
    </row>
    <row r="26" spans="1:7" s="42" customFormat="1" ht="14.45" customHeight="1" x14ac:dyDescent="0.25">
      <c r="A26" s="40" t="s">
        <v>41</v>
      </c>
      <c r="B26" s="40" t="s">
        <v>144</v>
      </c>
      <c r="C26" s="43">
        <v>2</v>
      </c>
      <c r="D26" s="41">
        <v>0</v>
      </c>
      <c r="E26" s="41">
        <f t="shared" si="1"/>
        <v>2</v>
      </c>
      <c r="F26" s="40" t="s">
        <v>25</v>
      </c>
      <c r="G26" s="42" t="s">
        <v>106</v>
      </c>
    </row>
    <row r="27" spans="1:7" s="2" customFormat="1" ht="33" x14ac:dyDescent="0.25">
      <c r="A27" s="5" t="s">
        <v>42</v>
      </c>
      <c r="B27" s="9" t="s">
        <v>43</v>
      </c>
      <c r="C27" s="10" t="s">
        <v>28</v>
      </c>
      <c r="D27" s="20">
        <v>0</v>
      </c>
      <c r="E27" s="10" t="s">
        <v>28</v>
      </c>
      <c r="F27" s="5" t="s">
        <v>26</v>
      </c>
      <c r="G27" s="2" t="s">
        <v>29</v>
      </c>
    </row>
    <row r="28" spans="1:7" s="2" customFormat="1" ht="14.45" customHeight="1" x14ac:dyDescent="0.25">
      <c r="A28" s="5"/>
      <c r="B28" s="5"/>
      <c r="C28" s="64" t="s">
        <v>30</v>
      </c>
      <c r="D28" s="64"/>
      <c r="E28" s="39">
        <f>SUM(E19:E27)</f>
        <v>23</v>
      </c>
      <c r="F28" s="5"/>
    </row>
    <row r="29" spans="1:7" s="2" customFormat="1" ht="14.45" customHeight="1" x14ac:dyDescent="0.25">
      <c r="A29" s="56" t="s">
        <v>44</v>
      </c>
      <c r="B29" s="56"/>
      <c r="C29" s="56"/>
      <c r="D29" s="56"/>
      <c r="E29" s="56"/>
      <c r="F29" s="56"/>
    </row>
    <row r="30" spans="1:7" s="54" customFormat="1" ht="14.45" customHeight="1" x14ac:dyDescent="0.25">
      <c r="A30" s="52" t="s">
        <v>116</v>
      </c>
      <c r="B30" s="52" t="s">
        <v>45</v>
      </c>
      <c r="C30" s="53">
        <v>2</v>
      </c>
      <c r="D30" s="53">
        <v>1</v>
      </c>
      <c r="E30" s="53">
        <v>3</v>
      </c>
      <c r="F30" s="52" t="s">
        <v>115</v>
      </c>
      <c r="G30" s="54" t="s">
        <v>12</v>
      </c>
    </row>
    <row r="31" spans="1:7" s="54" customFormat="1" ht="14.45" customHeight="1" x14ac:dyDescent="0.25">
      <c r="A31" s="52" t="s">
        <v>101</v>
      </c>
      <c r="B31" s="52" t="s">
        <v>80</v>
      </c>
      <c r="C31" s="53">
        <v>2</v>
      </c>
      <c r="D31" s="53">
        <v>1</v>
      </c>
      <c r="E31" s="53">
        <v>3</v>
      </c>
      <c r="F31" s="52" t="s">
        <v>89</v>
      </c>
      <c r="G31" s="54" t="s">
        <v>107</v>
      </c>
    </row>
    <row r="32" spans="1:7" s="54" customFormat="1" ht="14.45" customHeight="1" x14ac:dyDescent="0.25">
      <c r="A32" s="52" t="s">
        <v>117</v>
      </c>
      <c r="B32" s="52" t="s">
        <v>48</v>
      </c>
      <c r="C32" s="53">
        <v>2</v>
      </c>
      <c r="D32" s="53">
        <v>1</v>
      </c>
      <c r="E32" s="53">
        <v>3</v>
      </c>
      <c r="F32" s="52" t="s">
        <v>89</v>
      </c>
      <c r="G32" s="54" t="s">
        <v>107</v>
      </c>
    </row>
    <row r="33" spans="1:9" s="54" customFormat="1" ht="14.45" customHeight="1" x14ac:dyDescent="0.25">
      <c r="A33" s="52" t="s">
        <v>88</v>
      </c>
      <c r="B33" s="52" t="s">
        <v>87</v>
      </c>
      <c r="C33" s="53">
        <v>3</v>
      </c>
      <c r="D33" s="53">
        <v>0</v>
      </c>
      <c r="E33" s="53">
        <v>3</v>
      </c>
      <c r="F33" s="52" t="s">
        <v>23</v>
      </c>
      <c r="G33" s="54" t="s">
        <v>99</v>
      </c>
    </row>
    <row r="34" spans="1:9" s="54" customFormat="1" ht="14.45" customHeight="1" x14ac:dyDescent="0.25">
      <c r="A34" s="52" t="s">
        <v>103</v>
      </c>
      <c r="B34" s="52" t="s">
        <v>53</v>
      </c>
      <c r="C34" s="53">
        <v>3</v>
      </c>
      <c r="D34" s="53">
        <v>0</v>
      </c>
      <c r="E34" s="53">
        <v>3</v>
      </c>
      <c r="F34" s="52" t="s">
        <v>11</v>
      </c>
      <c r="G34" s="54" t="s">
        <v>99</v>
      </c>
    </row>
    <row r="35" spans="1:9" s="54" customFormat="1" ht="14.45" customHeight="1" x14ac:dyDescent="0.25">
      <c r="A35" s="52" t="s">
        <v>104</v>
      </c>
      <c r="B35" s="52" t="s">
        <v>55</v>
      </c>
      <c r="C35" s="53">
        <v>3</v>
      </c>
      <c r="D35" s="53">
        <v>0</v>
      </c>
      <c r="E35" s="53">
        <v>3</v>
      </c>
      <c r="F35" s="52" t="s">
        <v>23</v>
      </c>
      <c r="G35" s="54" t="s">
        <v>99</v>
      </c>
    </row>
    <row r="36" spans="1:9" s="54" customFormat="1" ht="14.45" customHeight="1" x14ac:dyDescent="0.25">
      <c r="A36" s="52" t="s">
        <v>56</v>
      </c>
      <c r="B36" s="52" t="s">
        <v>57</v>
      </c>
      <c r="C36" s="53">
        <v>3</v>
      </c>
      <c r="D36" s="53">
        <v>0</v>
      </c>
      <c r="E36" s="53">
        <f>SUM(C36:D36)</f>
        <v>3</v>
      </c>
      <c r="F36" s="52" t="s">
        <v>11</v>
      </c>
      <c r="G36" s="54" t="s">
        <v>81</v>
      </c>
    </row>
    <row r="37" spans="1:9" s="75" customFormat="1" ht="26.25" customHeight="1" x14ac:dyDescent="0.25">
      <c r="A37" s="72" t="s">
        <v>50</v>
      </c>
      <c r="B37" s="73" t="s">
        <v>205</v>
      </c>
      <c r="C37" s="74">
        <v>2</v>
      </c>
      <c r="D37" s="74">
        <v>0</v>
      </c>
      <c r="E37" s="74">
        <f t="shared" ref="E37" si="2">SUM(C37:D37)</f>
        <v>2</v>
      </c>
      <c r="F37" s="72" t="s">
        <v>25</v>
      </c>
      <c r="G37" s="75" t="s">
        <v>106</v>
      </c>
    </row>
    <row r="38" spans="1:9" s="2" customFormat="1" ht="14.45" customHeight="1" x14ac:dyDescent="0.25">
      <c r="A38" s="5"/>
      <c r="B38" s="5"/>
      <c r="C38" s="64" t="s">
        <v>30</v>
      </c>
      <c r="D38" s="64"/>
      <c r="E38" s="39">
        <f>SUM(E30:E37)</f>
        <v>23</v>
      </c>
      <c r="F38" s="5"/>
      <c r="I38" s="2" t="s">
        <v>34</v>
      </c>
    </row>
    <row r="39" spans="1:9" s="2" customFormat="1" ht="14.45" customHeight="1" x14ac:dyDescent="0.25">
      <c r="A39" s="56" t="s">
        <v>51</v>
      </c>
      <c r="B39" s="56"/>
      <c r="C39" s="56"/>
      <c r="D39" s="56"/>
      <c r="E39" s="56"/>
      <c r="F39" s="56"/>
    </row>
    <row r="40" spans="1:9" s="54" customFormat="1" ht="14.45" customHeight="1" x14ac:dyDescent="0.25">
      <c r="A40" s="52" t="s">
        <v>118</v>
      </c>
      <c r="B40" s="52" t="s">
        <v>47</v>
      </c>
      <c r="C40" s="53">
        <v>2</v>
      </c>
      <c r="D40" s="53">
        <v>1</v>
      </c>
      <c r="E40" s="53">
        <v>3</v>
      </c>
      <c r="F40" s="52" t="s">
        <v>114</v>
      </c>
      <c r="G40" s="54" t="s">
        <v>99</v>
      </c>
    </row>
    <row r="41" spans="1:9" s="54" customFormat="1" ht="14.45" customHeight="1" x14ac:dyDescent="0.25">
      <c r="A41" s="52" t="s">
        <v>119</v>
      </c>
      <c r="B41" s="52" t="s">
        <v>52</v>
      </c>
      <c r="C41" s="53">
        <v>2</v>
      </c>
      <c r="D41" s="53">
        <v>1</v>
      </c>
      <c r="E41" s="53">
        <v>3</v>
      </c>
      <c r="F41" s="52" t="s">
        <v>117</v>
      </c>
      <c r="G41" s="54" t="s">
        <v>107</v>
      </c>
    </row>
    <row r="42" spans="1:9" s="54" customFormat="1" ht="14.45" customHeight="1" x14ac:dyDescent="0.25">
      <c r="A42" s="52" t="s">
        <v>120</v>
      </c>
      <c r="B42" s="52" t="s">
        <v>49</v>
      </c>
      <c r="C42" s="53">
        <v>2</v>
      </c>
      <c r="D42" s="53">
        <v>1</v>
      </c>
      <c r="E42" s="53">
        <v>3</v>
      </c>
      <c r="F42" s="52" t="s">
        <v>110</v>
      </c>
      <c r="G42" s="54" t="s">
        <v>99</v>
      </c>
    </row>
    <row r="43" spans="1:9" s="54" customFormat="1" ht="14.45" customHeight="1" x14ac:dyDescent="0.25">
      <c r="A43" s="52" t="s">
        <v>102</v>
      </c>
      <c r="B43" s="52" t="s">
        <v>92</v>
      </c>
      <c r="C43" s="53">
        <v>3</v>
      </c>
      <c r="D43" s="53">
        <v>0</v>
      </c>
      <c r="E43" s="53">
        <v>3</v>
      </c>
      <c r="F43" s="52" t="s">
        <v>94</v>
      </c>
      <c r="G43" s="54" t="s">
        <v>107</v>
      </c>
    </row>
    <row r="44" spans="1:9" s="54" customFormat="1" ht="14.45" customHeight="1" x14ac:dyDescent="0.25">
      <c r="A44" s="52" t="s">
        <v>91</v>
      </c>
      <c r="B44" s="52" t="s">
        <v>90</v>
      </c>
      <c r="C44" s="53">
        <v>3</v>
      </c>
      <c r="D44" s="53">
        <v>0</v>
      </c>
      <c r="E44" s="53">
        <v>3</v>
      </c>
      <c r="F44" s="52" t="s">
        <v>93</v>
      </c>
      <c r="G44" s="54" t="s">
        <v>107</v>
      </c>
    </row>
    <row r="45" spans="1:9" s="54" customFormat="1" ht="14.45" customHeight="1" x14ac:dyDescent="0.25">
      <c r="A45" s="52" t="s">
        <v>37</v>
      </c>
      <c r="B45" s="52" t="s">
        <v>38</v>
      </c>
      <c r="C45" s="53">
        <v>3</v>
      </c>
      <c r="D45" s="53">
        <v>0</v>
      </c>
      <c r="E45" s="53">
        <f>SUM(C45:D45)</f>
        <v>3</v>
      </c>
      <c r="F45" s="52" t="s">
        <v>11</v>
      </c>
      <c r="G45" s="54" t="s">
        <v>81</v>
      </c>
    </row>
    <row r="46" spans="1:9" s="54" customFormat="1" ht="14.45" customHeight="1" x14ac:dyDescent="0.25">
      <c r="A46" s="52" t="s">
        <v>65</v>
      </c>
      <c r="B46" s="52" t="s">
        <v>66</v>
      </c>
      <c r="C46" s="53">
        <v>3</v>
      </c>
      <c r="D46" s="53">
        <v>0</v>
      </c>
      <c r="E46" s="53">
        <f>SUM(C46:D46)</f>
        <v>3</v>
      </c>
      <c r="F46" s="52" t="s">
        <v>11</v>
      </c>
      <c r="G46" s="54" t="s">
        <v>81</v>
      </c>
    </row>
    <row r="47" spans="1:9" s="75" customFormat="1" ht="30" customHeight="1" x14ac:dyDescent="0.25">
      <c r="A47" s="72" t="s">
        <v>58</v>
      </c>
      <c r="B47" s="73" t="s">
        <v>206</v>
      </c>
      <c r="C47" s="74">
        <v>2</v>
      </c>
      <c r="D47" s="74">
        <v>0</v>
      </c>
      <c r="E47" s="74">
        <f t="shared" ref="E47" si="3">SUM(C47:D47)</f>
        <v>2</v>
      </c>
      <c r="F47" s="72" t="s">
        <v>25</v>
      </c>
      <c r="G47" s="75" t="s">
        <v>106</v>
      </c>
    </row>
    <row r="48" spans="1:9" s="2" customFormat="1" ht="14.45" customHeight="1" x14ac:dyDescent="0.25">
      <c r="A48" s="5"/>
      <c r="B48" s="5"/>
      <c r="C48" s="64" t="s">
        <v>30</v>
      </c>
      <c r="D48" s="64"/>
      <c r="E48" s="39">
        <f>SUM(E40:E47)</f>
        <v>23</v>
      </c>
      <c r="F48" s="5"/>
    </row>
    <row r="49" spans="1:7" s="2" customFormat="1" ht="14.45" customHeight="1" x14ac:dyDescent="0.25">
      <c r="A49" s="56" t="s">
        <v>59</v>
      </c>
      <c r="B49" s="56"/>
      <c r="C49" s="56"/>
      <c r="D49" s="56"/>
      <c r="E49" s="56"/>
      <c r="F49" s="56"/>
    </row>
    <row r="50" spans="1:7" s="2" customFormat="1" ht="14.45" customHeight="1" x14ac:dyDescent="0.25">
      <c r="A50" s="5" t="s">
        <v>121</v>
      </c>
      <c r="B50" s="5" t="s">
        <v>46</v>
      </c>
      <c r="C50" s="38">
        <v>2</v>
      </c>
      <c r="D50" s="38">
        <v>1</v>
      </c>
      <c r="E50" s="38">
        <v>3</v>
      </c>
      <c r="F50" s="5" t="s">
        <v>115</v>
      </c>
      <c r="G50" s="2" t="s">
        <v>12</v>
      </c>
    </row>
    <row r="51" spans="1:7" s="54" customFormat="1" ht="14.45" customHeight="1" x14ac:dyDescent="0.25">
      <c r="A51" s="52" t="s">
        <v>122</v>
      </c>
      <c r="B51" s="52" t="s">
        <v>54</v>
      </c>
      <c r="C51" s="53">
        <v>2</v>
      </c>
      <c r="D51" s="53">
        <v>1</v>
      </c>
      <c r="E51" s="53">
        <v>3</v>
      </c>
      <c r="F51" s="52" t="s">
        <v>118</v>
      </c>
      <c r="G51" s="54" t="s">
        <v>99</v>
      </c>
    </row>
    <row r="52" spans="1:7" s="54" customFormat="1" ht="14.45" customHeight="1" x14ac:dyDescent="0.25">
      <c r="A52" s="52" t="s">
        <v>123</v>
      </c>
      <c r="B52" s="52" t="s">
        <v>64</v>
      </c>
      <c r="C52" s="53">
        <v>3</v>
      </c>
      <c r="D52" s="53">
        <v>0</v>
      </c>
      <c r="E52" s="53">
        <v>3</v>
      </c>
      <c r="F52" s="52" t="s">
        <v>103</v>
      </c>
      <c r="G52" s="54" t="s">
        <v>99</v>
      </c>
    </row>
    <row r="53" spans="1:7" s="54" customFormat="1" ht="14.45" customHeight="1" x14ac:dyDescent="0.25">
      <c r="A53" s="52" t="s">
        <v>124</v>
      </c>
      <c r="B53" s="52" t="s">
        <v>60</v>
      </c>
      <c r="C53" s="53">
        <v>3</v>
      </c>
      <c r="D53" s="53">
        <v>0</v>
      </c>
      <c r="E53" s="53">
        <v>3</v>
      </c>
      <c r="F53" s="52" t="s">
        <v>120</v>
      </c>
      <c r="G53" s="54" t="s">
        <v>107</v>
      </c>
    </row>
    <row r="54" spans="1:7" s="54" customFormat="1" ht="14.45" customHeight="1" x14ac:dyDescent="0.25">
      <c r="A54" s="52" t="s">
        <v>162</v>
      </c>
      <c r="B54" s="52" t="s">
        <v>163</v>
      </c>
      <c r="C54" s="53">
        <v>2</v>
      </c>
      <c r="D54" s="53">
        <v>1</v>
      </c>
      <c r="E54" s="53">
        <v>3</v>
      </c>
      <c r="F54" s="52" t="s">
        <v>91</v>
      </c>
      <c r="G54" s="54" t="s">
        <v>99</v>
      </c>
    </row>
    <row r="55" spans="1:7" s="54" customFormat="1" ht="14.45" customHeight="1" x14ac:dyDescent="0.25">
      <c r="A55" s="52" t="s">
        <v>152</v>
      </c>
      <c r="B55" s="52" t="s">
        <v>35</v>
      </c>
      <c r="C55" s="53">
        <v>3</v>
      </c>
      <c r="D55" s="53">
        <v>0</v>
      </c>
      <c r="E55" s="53">
        <f>SUM(C55:D55)</f>
        <v>3</v>
      </c>
      <c r="F55" s="52" t="s">
        <v>21</v>
      </c>
      <c r="G55" s="54" t="s">
        <v>108</v>
      </c>
    </row>
    <row r="56" spans="1:7" s="54" customFormat="1" ht="14.45" customHeight="1" x14ac:dyDescent="0.25">
      <c r="A56" s="52" t="s">
        <v>125</v>
      </c>
      <c r="B56" s="52" t="s">
        <v>61</v>
      </c>
      <c r="C56" s="53">
        <v>3</v>
      </c>
      <c r="D56" s="53">
        <v>0</v>
      </c>
      <c r="E56" s="53">
        <v>3</v>
      </c>
      <c r="F56" s="52" t="s">
        <v>93</v>
      </c>
      <c r="G56" s="54" t="s">
        <v>99</v>
      </c>
    </row>
    <row r="57" spans="1:7" s="2" customFormat="1" ht="14.45" customHeight="1" x14ac:dyDescent="0.25">
      <c r="A57" s="5"/>
      <c r="B57" s="5"/>
      <c r="C57" s="64" t="s">
        <v>30</v>
      </c>
      <c r="D57" s="64"/>
      <c r="E57" s="39">
        <f>SUM(E50:E56)</f>
        <v>21</v>
      </c>
      <c r="F57" s="5"/>
    </row>
    <row r="58" spans="1:7" s="2" customFormat="1" ht="14.45" customHeight="1" x14ac:dyDescent="0.25">
      <c r="A58" s="56" t="s">
        <v>62</v>
      </c>
      <c r="B58" s="56"/>
      <c r="C58" s="56"/>
      <c r="D58" s="56"/>
      <c r="E58" s="56"/>
      <c r="F58" s="56"/>
    </row>
    <row r="59" spans="1:7" s="54" customFormat="1" ht="14.45" customHeight="1" x14ac:dyDescent="0.25">
      <c r="A59" s="52" t="s">
        <v>126</v>
      </c>
      <c r="B59" s="52" t="s">
        <v>142</v>
      </c>
      <c r="C59" s="53">
        <v>2</v>
      </c>
      <c r="D59" s="53">
        <v>1</v>
      </c>
      <c r="E59" s="53">
        <v>3</v>
      </c>
      <c r="F59" s="52" t="s">
        <v>118</v>
      </c>
      <c r="G59" s="54" t="s">
        <v>107</v>
      </c>
    </row>
    <row r="60" spans="1:7" s="54" customFormat="1" ht="14.45" customHeight="1" x14ac:dyDescent="0.25">
      <c r="A60" s="52" t="s">
        <v>127</v>
      </c>
      <c r="B60" s="52" t="s">
        <v>63</v>
      </c>
      <c r="C60" s="53">
        <v>3</v>
      </c>
      <c r="D60" s="53">
        <v>0</v>
      </c>
      <c r="E60" s="53">
        <v>3</v>
      </c>
      <c r="F60" s="52" t="s">
        <v>124</v>
      </c>
      <c r="G60" s="54" t="s">
        <v>99</v>
      </c>
    </row>
    <row r="61" spans="1:7" s="54" customFormat="1" ht="14.45" customHeight="1" x14ac:dyDescent="0.25">
      <c r="A61" s="52" t="s">
        <v>97</v>
      </c>
      <c r="B61" s="52" t="s">
        <v>98</v>
      </c>
      <c r="C61" s="53">
        <v>3</v>
      </c>
      <c r="D61" s="53">
        <v>0</v>
      </c>
      <c r="E61" s="53">
        <v>3</v>
      </c>
      <c r="F61" s="52" t="s">
        <v>102</v>
      </c>
      <c r="G61" s="54" t="s">
        <v>109</v>
      </c>
    </row>
    <row r="62" spans="1:7" s="54" customFormat="1" ht="14.45" customHeight="1" x14ac:dyDescent="0.25">
      <c r="A62" s="52" t="s">
        <v>173</v>
      </c>
      <c r="B62" s="52" t="s">
        <v>174</v>
      </c>
      <c r="C62" s="53">
        <v>2</v>
      </c>
      <c r="D62" s="53">
        <v>1</v>
      </c>
      <c r="E62" s="53">
        <v>3</v>
      </c>
      <c r="F62" s="52" t="s">
        <v>91</v>
      </c>
      <c r="G62" s="54" t="s">
        <v>109</v>
      </c>
    </row>
    <row r="63" spans="1:7" s="48" customFormat="1" ht="14.45" customHeight="1" x14ac:dyDescent="0.25">
      <c r="A63" s="46" t="s">
        <v>155</v>
      </c>
      <c r="B63" s="46" t="s">
        <v>207</v>
      </c>
      <c r="C63" s="47">
        <v>3</v>
      </c>
      <c r="D63" s="47">
        <v>0</v>
      </c>
      <c r="E63" s="47">
        <v>3</v>
      </c>
      <c r="F63" s="46" t="s">
        <v>11</v>
      </c>
      <c r="G63" s="48" t="s">
        <v>109</v>
      </c>
    </row>
    <row r="64" spans="1:7" s="54" customFormat="1" ht="14.45" customHeight="1" x14ac:dyDescent="0.25">
      <c r="A64" s="52" t="s">
        <v>149</v>
      </c>
      <c r="B64" s="52" t="s">
        <v>150</v>
      </c>
      <c r="C64" s="76">
        <v>3</v>
      </c>
      <c r="D64" s="53">
        <v>0</v>
      </c>
      <c r="E64" s="76">
        <v>3</v>
      </c>
      <c r="F64" s="52" t="s">
        <v>21</v>
      </c>
    </row>
    <row r="65" spans="1:7" s="54" customFormat="1" ht="14.45" customHeight="1" x14ac:dyDescent="0.25">
      <c r="A65" s="52" t="s">
        <v>77</v>
      </c>
      <c r="B65" s="52" t="s">
        <v>78</v>
      </c>
      <c r="C65" s="53">
        <v>3</v>
      </c>
      <c r="D65" s="53">
        <v>0</v>
      </c>
      <c r="E65" s="53">
        <f t="shared" ref="E65" si="4">SUM(C65:D65)</f>
        <v>3</v>
      </c>
      <c r="F65" s="52" t="s">
        <v>11</v>
      </c>
      <c r="G65" s="54" t="s">
        <v>81</v>
      </c>
    </row>
    <row r="66" spans="1:7" s="54" customFormat="1" ht="14.45" customHeight="1" x14ac:dyDescent="0.25">
      <c r="A66" s="52" t="s">
        <v>67</v>
      </c>
      <c r="B66" s="52" t="s">
        <v>68</v>
      </c>
      <c r="C66" s="76">
        <v>3</v>
      </c>
      <c r="D66" s="53">
        <v>0</v>
      </c>
      <c r="E66" s="76" t="s">
        <v>28</v>
      </c>
      <c r="F66" s="52" t="s">
        <v>11</v>
      </c>
      <c r="G66" s="54" t="s">
        <v>69</v>
      </c>
    </row>
    <row r="67" spans="1:7" s="2" customFormat="1" ht="14.45" customHeight="1" x14ac:dyDescent="0.25">
      <c r="A67" s="5"/>
      <c r="B67" s="5"/>
      <c r="C67" s="64" t="s">
        <v>30</v>
      </c>
      <c r="D67" s="64"/>
      <c r="E67" s="39">
        <f>SUM(E59:E66)</f>
        <v>21</v>
      </c>
      <c r="F67" s="5"/>
    </row>
    <row r="68" spans="1:7" s="2" customFormat="1" ht="14.45" customHeight="1" x14ac:dyDescent="0.25">
      <c r="A68" s="1"/>
      <c r="B68" s="1"/>
      <c r="C68" s="45"/>
      <c r="D68" s="45"/>
      <c r="E68" s="45"/>
      <c r="F68" s="1"/>
    </row>
    <row r="69" spans="1:7" s="2" customFormat="1" ht="13.5" customHeight="1" x14ac:dyDescent="0.25">
      <c r="A69" s="63" t="s">
        <v>70</v>
      </c>
      <c r="B69" s="63"/>
      <c r="C69" s="63"/>
      <c r="D69" s="63"/>
      <c r="E69" s="63"/>
      <c r="F69" s="63"/>
    </row>
    <row r="70" spans="1:7" s="54" customFormat="1" ht="14.45" customHeight="1" x14ac:dyDescent="0.25">
      <c r="A70" s="52" t="s">
        <v>128</v>
      </c>
      <c r="B70" s="52" t="s">
        <v>71</v>
      </c>
      <c r="C70" s="53">
        <v>2</v>
      </c>
      <c r="D70" s="53">
        <v>1</v>
      </c>
      <c r="E70" s="53">
        <v>3</v>
      </c>
      <c r="F70" s="52" t="s">
        <v>118</v>
      </c>
      <c r="G70" s="54" t="s">
        <v>99</v>
      </c>
    </row>
    <row r="71" spans="1:7" s="48" customFormat="1" ht="14.45" customHeight="1" x14ac:dyDescent="0.25">
      <c r="A71" s="46" t="s">
        <v>105</v>
      </c>
      <c r="B71" s="46" t="s">
        <v>76</v>
      </c>
      <c r="C71" s="47">
        <v>3</v>
      </c>
      <c r="D71" s="47">
        <v>0</v>
      </c>
      <c r="E71" s="47">
        <v>3</v>
      </c>
      <c r="F71" s="46" t="s">
        <v>93</v>
      </c>
      <c r="G71" s="48" t="s">
        <v>99</v>
      </c>
    </row>
    <row r="72" spans="1:7" s="51" customFormat="1" ht="14.45" customHeight="1" x14ac:dyDescent="0.25">
      <c r="A72" s="49" t="s">
        <v>129</v>
      </c>
      <c r="B72" s="49" t="s">
        <v>72</v>
      </c>
      <c r="C72" s="50">
        <v>3</v>
      </c>
      <c r="D72" s="50">
        <v>0</v>
      </c>
      <c r="E72" s="50">
        <v>3</v>
      </c>
      <c r="F72" s="49" t="s">
        <v>93</v>
      </c>
      <c r="G72" s="51" t="s">
        <v>99</v>
      </c>
    </row>
    <row r="73" spans="1:7" s="2" customFormat="1" ht="14.45" customHeight="1" x14ac:dyDescent="0.25">
      <c r="A73" s="5"/>
      <c r="B73" s="5"/>
      <c r="C73" s="64" t="s">
        <v>30</v>
      </c>
      <c r="D73" s="64"/>
      <c r="E73" s="39">
        <f>SUM(E70:E72)</f>
        <v>9</v>
      </c>
      <c r="F73" s="5"/>
    </row>
    <row r="74" spans="1:7" s="2" customFormat="1" ht="14.45" customHeight="1" x14ac:dyDescent="0.25">
      <c r="A74" s="56" t="s">
        <v>73</v>
      </c>
      <c r="B74" s="56"/>
      <c r="C74" s="56"/>
      <c r="D74" s="56"/>
      <c r="E74" s="56"/>
      <c r="F74" s="56"/>
    </row>
    <row r="75" spans="1:7" s="2" customFormat="1" ht="14.45" customHeight="1" x14ac:dyDescent="0.25">
      <c r="A75" s="5" t="s">
        <v>130</v>
      </c>
      <c r="B75" s="5" t="s">
        <v>74</v>
      </c>
      <c r="C75" s="20">
        <v>3</v>
      </c>
      <c r="D75" s="20">
        <v>0</v>
      </c>
      <c r="E75" s="20">
        <v>3</v>
      </c>
      <c r="F75" s="5" t="s">
        <v>127</v>
      </c>
      <c r="G75" s="2" t="s">
        <v>99</v>
      </c>
    </row>
    <row r="76" spans="1:7" s="2" customFormat="1" ht="14.45" customHeight="1" x14ac:dyDescent="0.25">
      <c r="A76" s="5" t="s">
        <v>95</v>
      </c>
      <c r="B76" s="5" t="s">
        <v>96</v>
      </c>
      <c r="C76" s="38">
        <v>2</v>
      </c>
      <c r="D76" s="38">
        <v>1</v>
      </c>
      <c r="E76" s="38">
        <v>3</v>
      </c>
      <c r="F76" s="5" t="s">
        <v>114</v>
      </c>
      <c r="G76" s="2" t="s">
        <v>107</v>
      </c>
    </row>
    <row r="77" spans="1:7" s="2" customFormat="1" ht="14.25" customHeight="1" x14ac:dyDescent="0.25">
      <c r="A77" s="5" t="s">
        <v>160</v>
      </c>
      <c r="B77" s="5" t="s">
        <v>161</v>
      </c>
      <c r="C77" s="38">
        <v>3</v>
      </c>
      <c r="D77" s="38">
        <v>0</v>
      </c>
      <c r="E77" s="38">
        <v>3</v>
      </c>
      <c r="F77" s="5" t="s">
        <v>102</v>
      </c>
      <c r="G77" s="2" t="s">
        <v>109</v>
      </c>
    </row>
    <row r="78" spans="1:7" s="2" customFormat="1" ht="14.45" customHeight="1" x14ac:dyDescent="0.25">
      <c r="A78" s="5" t="s">
        <v>156</v>
      </c>
      <c r="B78" s="5" t="s">
        <v>183</v>
      </c>
      <c r="C78" s="38">
        <v>2</v>
      </c>
      <c r="D78" s="38">
        <v>1</v>
      </c>
      <c r="E78" s="38">
        <v>3</v>
      </c>
      <c r="F78" s="5" t="s">
        <v>11</v>
      </c>
      <c r="G78" s="2" t="s">
        <v>109</v>
      </c>
    </row>
    <row r="79" spans="1:7" s="2" customFormat="1" ht="14.45" customHeight="1" x14ac:dyDescent="0.25">
      <c r="A79" s="5" t="s">
        <v>157</v>
      </c>
      <c r="B79" s="5" t="s">
        <v>184</v>
      </c>
      <c r="C79" s="20">
        <v>3</v>
      </c>
      <c r="D79" s="20">
        <v>0</v>
      </c>
      <c r="E79" s="20">
        <v>3</v>
      </c>
      <c r="F79" s="5" t="s">
        <v>11</v>
      </c>
      <c r="G79" s="2" t="s">
        <v>109</v>
      </c>
    </row>
    <row r="80" spans="1:7" s="2" customFormat="1" ht="14.45" customHeight="1" x14ac:dyDescent="0.25">
      <c r="A80" s="5"/>
      <c r="B80" s="5"/>
      <c r="C80" s="64" t="s">
        <v>30</v>
      </c>
      <c r="D80" s="64"/>
      <c r="E80" s="39">
        <f>SUM(E75:E79)</f>
        <v>15</v>
      </c>
      <c r="F80" s="5"/>
    </row>
    <row r="81" spans="1:7" s="2" customFormat="1" ht="14.45" customHeight="1" x14ac:dyDescent="0.25">
      <c r="A81" s="56" t="s">
        <v>79</v>
      </c>
      <c r="B81" s="56"/>
      <c r="C81" s="56"/>
      <c r="D81" s="56"/>
      <c r="E81" s="56"/>
      <c r="F81" s="56"/>
    </row>
    <row r="82" spans="1:7" s="2" customFormat="1" ht="14.45" customHeight="1" x14ac:dyDescent="0.25">
      <c r="A82" s="22" t="s">
        <v>131</v>
      </c>
      <c r="B82" s="23" t="s">
        <v>100</v>
      </c>
      <c r="C82" s="24">
        <v>6</v>
      </c>
      <c r="D82" s="24">
        <v>0</v>
      </c>
      <c r="E82" s="24">
        <v>6</v>
      </c>
      <c r="F82" s="22" t="s">
        <v>111</v>
      </c>
      <c r="G82" s="2" t="s">
        <v>99</v>
      </c>
    </row>
    <row r="83" spans="1:7" s="2" customFormat="1" ht="14.45" customHeight="1" x14ac:dyDescent="0.25">
      <c r="A83" s="5"/>
      <c r="B83" s="5"/>
      <c r="C83" s="64" t="s">
        <v>30</v>
      </c>
      <c r="D83" s="64"/>
      <c r="E83" s="39">
        <v>6</v>
      </c>
      <c r="F83" s="5"/>
    </row>
    <row r="84" spans="1:7" s="2" customFormat="1" ht="14.45" customHeight="1" x14ac:dyDescent="0.25">
      <c r="A84" s="56" t="s">
        <v>185</v>
      </c>
      <c r="B84" s="57"/>
      <c r="C84" s="57"/>
      <c r="D84" s="57"/>
      <c r="E84" s="57"/>
      <c r="F84" s="57"/>
    </row>
    <row r="85" spans="1:7" s="2" customFormat="1" ht="14.45" customHeight="1" x14ac:dyDescent="0.25">
      <c r="A85" s="5" t="s">
        <v>158</v>
      </c>
      <c r="B85" s="5" t="s">
        <v>159</v>
      </c>
      <c r="C85" s="20">
        <v>2</v>
      </c>
      <c r="D85" s="20">
        <v>1</v>
      </c>
      <c r="E85" s="20">
        <v>3</v>
      </c>
      <c r="F85" s="5" t="s">
        <v>93</v>
      </c>
    </row>
    <row r="86" spans="1:7" s="54" customFormat="1" ht="14.45" customHeight="1" x14ac:dyDescent="0.25">
      <c r="A86" s="52" t="s">
        <v>165</v>
      </c>
      <c r="B86" s="52" t="s">
        <v>166</v>
      </c>
      <c r="C86" s="53">
        <v>3</v>
      </c>
      <c r="D86" s="53">
        <v>0</v>
      </c>
      <c r="E86" s="53">
        <v>3</v>
      </c>
      <c r="F86" s="52" t="s">
        <v>93</v>
      </c>
    </row>
    <row r="87" spans="1:7" s="48" customFormat="1" ht="14.45" customHeight="1" x14ac:dyDescent="0.25">
      <c r="A87" s="46" t="s">
        <v>167</v>
      </c>
      <c r="B87" s="46" t="s">
        <v>168</v>
      </c>
      <c r="C87" s="47">
        <v>3</v>
      </c>
      <c r="D87" s="47">
        <v>0</v>
      </c>
      <c r="E87" s="47">
        <v>3</v>
      </c>
      <c r="F87" s="46" t="s">
        <v>93</v>
      </c>
    </row>
    <row r="88" spans="1:7" s="2" customFormat="1" ht="14.45" customHeight="1" x14ac:dyDescent="0.25">
      <c r="A88" s="5" t="s">
        <v>169</v>
      </c>
      <c r="B88" s="5" t="s">
        <v>170</v>
      </c>
      <c r="C88" s="20">
        <v>2</v>
      </c>
      <c r="D88" s="20">
        <v>1</v>
      </c>
      <c r="E88" s="20">
        <v>3</v>
      </c>
      <c r="F88" s="5" t="s">
        <v>105</v>
      </c>
    </row>
    <row r="89" spans="1:7" s="2" customFormat="1" ht="14.45" customHeight="1" x14ac:dyDescent="0.25">
      <c r="A89" s="5" t="s">
        <v>182</v>
      </c>
      <c r="B89" s="5" t="s">
        <v>172</v>
      </c>
      <c r="C89" s="20">
        <v>2</v>
      </c>
      <c r="D89" s="20">
        <v>1</v>
      </c>
      <c r="E89" s="20">
        <v>3</v>
      </c>
      <c r="F89" s="5" t="s">
        <v>113</v>
      </c>
    </row>
    <row r="90" spans="1:7" s="2" customFormat="1" ht="14.45" customHeight="1" x14ac:dyDescent="0.25">
      <c r="A90" s="5" t="s">
        <v>175</v>
      </c>
      <c r="B90" s="5" t="s">
        <v>176</v>
      </c>
      <c r="C90" s="20">
        <v>3</v>
      </c>
      <c r="D90" s="20">
        <v>0</v>
      </c>
      <c r="E90" s="20">
        <v>3</v>
      </c>
      <c r="F90" s="5" t="s">
        <v>11</v>
      </c>
    </row>
    <row r="91" spans="1:7" s="2" customFormat="1" ht="14.45" customHeight="1" x14ac:dyDescent="0.25">
      <c r="A91" s="56" t="s">
        <v>177</v>
      </c>
      <c r="B91" s="57"/>
      <c r="C91" s="57"/>
      <c r="D91" s="57"/>
      <c r="E91" s="57"/>
      <c r="F91" s="57"/>
    </row>
    <row r="92" spans="1:7" s="42" customFormat="1" ht="14.45" customHeight="1" x14ac:dyDescent="0.25">
      <c r="A92" s="40" t="s">
        <v>149</v>
      </c>
      <c r="B92" s="40" t="s">
        <v>150</v>
      </c>
      <c r="C92" s="44">
        <v>3</v>
      </c>
      <c r="D92" s="41">
        <v>0</v>
      </c>
      <c r="E92" s="44">
        <v>3</v>
      </c>
      <c r="F92" s="40" t="s">
        <v>21</v>
      </c>
    </row>
    <row r="93" spans="1:7" s="2" customFormat="1" ht="14.45" customHeight="1" x14ac:dyDescent="0.25">
      <c r="A93" s="56" t="s">
        <v>178</v>
      </c>
      <c r="B93" s="57"/>
      <c r="C93" s="57"/>
      <c r="D93" s="57"/>
      <c r="E93" s="57"/>
      <c r="F93" s="57"/>
    </row>
    <row r="94" spans="1:7" s="2" customFormat="1" ht="14.45" customHeight="1" x14ac:dyDescent="0.25">
      <c r="A94" s="5" t="s">
        <v>67</v>
      </c>
      <c r="B94" s="5" t="s">
        <v>68</v>
      </c>
      <c r="C94" s="11">
        <v>3</v>
      </c>
      <c r="D94" s="20">
        <v>0</v>
      </c>
      <c r="E94" s="11" t="s">
        <v>28</v>
      </c>
      <c r="F94" s="5" t="s">
        <v>11</v>
      </c>
    </row>
    <row r="95" spans="1:7" s="2" customFormat="1" ht="14.45" customHeight="1" x14ac:dyDescent="0.25">
      <c r="A95" s="1"/>
      <c r="B95" s="1"/>
      <c r="C95" s="4"/>
      <c r="D95" s="4"/>
      <c r="E95" s="4"/>
      <c r="F95" s="1"/>
    </row>
    <row r="96" spans="1:7" s="2" customFormat="1" ht="14.45" customHeight="1" x14ac:dyDescent="0.25">
      <c r="A96" s="1"/>
      <c r="B96" s="5" t="s">
        <v>81</v>
      </c>
      <c r="C96" s="20"/>
      <c r="D96" s="4"/>
      <c r="E96" s="4"/>
      <c r="F96" s="1"/>
    </row>
    <row r="97" spans="1:6" s="2" customFormat="1" ht="14.45" customHeight="1" x14ac:dyDescent="0.25">
      <c r="A97" s="1"/>
      <c r="B97" s="12" t="s">
        <v>86</v>
      </c>
      <c r="C97" s="20">
        <v>27</v>
      </c>
      <c r="D97" s="4"/>
      <c r="E97" s="4"/>
      <c r="F97" s="1"/>
    </row>
    <row r="98" spans="1:6" s="2" customFormat="1" ht="14.45" customHeight="1" x14ac:dyDescent="0.25">
      <c r="A98" s="1"/>
      <c r="B98" s="12" t="s">
        <v>153</v>
      </c>
      <c r="C98" s="20">
        <v>6</v>
      </c>
      <c r="D98" s="4"/>
      <c r="E98" s="4"/>
      <c r="F98" s="1"/>
    </row>
    <row r="99" spans="1:6" s="2" customFormat="1" ht="14.45" customHeight="1" x14ac:dyDescent="0.25">
      <c r="A99" s="1"/>
      <c r="B99" s="12" t="s">
        <v>108</v>
      </c>
      <c r="C99" s="20">
        <v>3</v>
      </c>
      <c r="D99" s="4"/>
      <c r="E99" s="4"/>
      <c r="F99" s="1"/>
    </row>
    <row r="100" spans="1:6" s="2" customFormat="1" ht="14.45" customHeight="1" x14ac:dyDescent="0.25">
      <c r="A100" s="1"/>
      <c r="B100" s="12" t="s">
        <v>82</v>
      </c>
      <c r="C100" s="20">
        <v>8</v>
      </c>
      <c r="D100" s="4"/>
      <c r="E100" s="4"/>
      <c r="F100" s="1"/>
    </row>
    <row r="101" spans="1:6" s="2" customFormat="1" ht="14.45" customHeight="1" x14ac:dyDescent="0.25">
      <c r="A101" s="1"/>
      <c r="B101" s="12" t="s">
        <v>29</v>
      </c>
      <c r="C101" s="11" t="s">
        <v>83</v>
      </c>
      <c r="D101" s="4"/>
      <c r="E101" s="4"/>
      <c r="F101" s="1"/>
    </row>
    <row r="102" spans="1:6" s="2" customFormat="1" ht="14.45" customHeight="1" x14ac:dyDescent="0.25">
      <c r="A102" s="1"/>
      <c r="B102" s="5" t="s">
        <v>12</v>
      </c>
      <c r="C102" s="20">
        <v>18</v>
      </c>
      <c r="D102" s="4"/>
      <c r="E102" s="4"/>
      <c r="F102" s="1"/>
    </row>
    <row r="103" spans="1:6" s="2" customFormat="1" ht="14.45" customHeight="1" x14ac:dyDescent="0.25">
      <c r="A103" s="1"/>
      <c r="B103" s="5" t="s">
        <v>15</v>
      </c>
      <c r="C103" s="20">
        <v>51</v>
      </c>
      <c r="D103" s="4"/>
      <c r="E103" s="4"/>
      <c r="F103" s="1"/>
    </row>
    <row r="104" spans="1:6" s="2" customFormat="1" ht="14.45" customHeight="1" x14ac:dyDescent="0.25">
      <c r="A104" s="1"/>
      <c r="B104" s="5" t="s">
        <v>36</v>
      </c>
      <c r="C104" s="20">
        <v>42</v>
      </c>
      <c r="D104" s="4"/>
      <c r="E104" s="4"/>
      <c r="F104" s="1"/>
    </row>
    <row r="105" spans="1:6" s="2" customFormat="1" ht="14.45" customHeight="1" x14ac:dyDescent="0.25">
      <c r="A105" s="1"/>
      <c r="B105" s="5" t="s">
        <v>84</v>
      </c>
      <c r="C105" s="20">
        <v>9</v>
      </c>
      <c r="D105" s="4"/>
      <c r="E105" s="4"/>
      <c r="F105" s="1"/>
    </row>
    <row r="106" spans="1:6" s="2" customFormat="1" ht="14.45" customHeight="1" x14ac:dyDescent="0.25">
      <c r="A106" s="1"/>
      <c r="B106" s="5" t="s">
        <v>69</v>
      </c>
      <c r="C106" s="11" t="s">
        <v>28</v>
      </c>
      <c r="D106" s="4"/>
      <c r="E106" s="4"/>
      <c r="F106" s="1"/>
    </row>
    <row r="107" spans="1:6" s="2" customFormat="1" ht="14.45" customHeight="1" x14ac:dyDescent="0.25">
      <c r="A107" s="1"/>
      <c r="B107" s="13" t="s">
        <v>85</v>
      </c>
      <c r="C107" s="17">
        <f>SUM(C97:C106)</f>
        <v>164</v>
      </c>
      <c r="D107" s="4"/>
      <c r="E107" s="37">
        <f>SUM(E17,E28,E38,E48,E57,E67,E73,E80,E83)</f>
        <v>164</v>
      </c>
      <c r="F107" s="14"/>
    </row>
    <row r="108" spans="1:6" s="2" customFormat="1" ht="14.45" customHeight="1" x14ac:dyDescent="0.25">
      <c r="A108" s="1"/>
      <c r="B108" s="1"/>
      <c r="C108" s="4"/>
      <c r="D108" s="4"/>
      <c r="E108" s="4"/>
      <c r="F108" s="1"/>
    </row>
    <row r="109" spans="1:6" s="2" customFormat="1" ht="14.45" customHeight="1" x14ac:dyDescent="0.25">
      <c r="A109" s="7" t="s">
        <v>132</v>
      </c>
      <c r="B109" s="7"/>
      <c r="C109" s="15"/>
      <c r="D109" s="18"/>
      <c r="E109" s="18"/>
      <c r="F109" s="7"/>
    </row>
    <row r="110" spans="1:6" s="2" customFormat="1" ht="14.45" customHeight="1" x14ac:dyDescent="0.25">
      <c r="A110" s="7"/>
      <c r="B110" s="7"/>
      <c r="C110" s="15"/>
      <c r="D110" s="18"/>
      <c r="E110" s="18"/>
      <c r="F110" s="7"/>
    </row>
    <row r="111" spans="1:6" s="2" customFormat="1" ht="14.45" customHeight="1" x14ac:dyDescent="0.25">
      <c r="A111" s="6" t="s">
        <v>140</v>
      </c>
      <c r="B111" s="7"/>
      <c r="C111" s="6" t="s">
        <v>135</v>
      </c>
      <c r="D111" s="18"/>
      <c r="E111" s="18"/>
      <c r="F111" s="7"/>
    </row>
    <row r="112" spans="1:6" s="2" customFormat="1" ht="14.45" customHeight="1" x14ac:dyDescent="0.25">
      <c r="A112" s="7" t="s">
        <v>141</v>
      </c>
      <c r="B112" s="7"/>
      <c r="C112" s="7" t="s">
        <v>136</v>
      </c>
      <c r="D112" s="18"/>
      <c r="E112" s="18"/>
      <c r="F112" s="7"/>
    </row>
    <row r="113" spans="1:6" s="2" customFormat="1" ht="14.45" customHeight="1" x14ac:dyDescent="0.25">
      <c r="B113" s="7"/>
      <c r="C113" s="7"/>
      <c r="D113" s="18"/>
      <c r="E113" s="18"/>
      <c r="F113" s="7"/>
    </row>
    <row r="114" spans="1:6" s="2" customFormat="1" ht="14.45" customHeight="1" x14ac:dyDescent="0.25">
      <c r="A114" s="7"/>
      <c r="B114" s="7"/>
      <c r="C114" s="7"/>
      <c r="D114" s="18"/>
      <c r="E114" s="18"/>
      <c r="F114" s="7"/>
    </row>
    <row r="115" spans="1:6" s="2" customFormat="1" ht="14.45" customHeight="1" x14ac:dyDescent="0.25">
      <c r="A115" s="15" t="s">
        <v>133</v>
      </c>
      <c r="B115" s="7"/>
    </row>
    <row r="116" spans="1:6" s="2" customFormat="1" ht="14.45" customHeight="1" x14ac:dyDescent="0.25">
      <c r="A116" s="15"/>
      <c r="B116" s="7"/>
    </row>
    <row r="117" spans="1:6" s="2" customFormat="1" ht="14.45" customHeight="1" x14ac:dyDescent="0.25">
      <c r="A117" s="16" t="s">
        <v>148</v>
      </c>
      <c r="B117" s="7"/>
    </row>
    <row r="118" spans="1:6" s="2" customFormat="1" ht="14.45" customHeight="1" x14ac:dyDescent="0.25">
      <c r="A118" s="7" t="s">
        <v>134</v>
      </c>
      <c r="B118" s="7"/>
    </row>
    <row r="119" spans="1:6" s="2" customFormat="1" ht="14.45" customHeight="1" x14ac:dyDescent="0.25">
      <c r="B119" s="7"/>
    </row>
    <row r="120" spans="1:6" s="2" customFormat="1" ht="14.45" customHeight="1" x14ac:dyDescent="0.25">
      <c r="B120" s="7"/>
    </row>
    <row r="121" spans="1:6" s="2" customFormat="1" ht="14.45" customHeight="1" x14ac:dyDescent="0.25">
      <c r="A121" s="15" t="s">
        <v>137</v>
      </c>
      <c r="B121" s="7"/>
    </row>
    <row r="122" spans="1:6" s="2" customFormat="1" ht="14.45" customHeight="1" x14ac:dyDescent="0.25">
      <c r="A122" s="7"/>
      <c r="B122" s="7"/>
    </row>
    <row r="123" spans="1:6" s="2" customFormat="1" ht="14.45" customHeight="1" x14ac:dyDescent="0.25">
      <c r="A123" s="6" t="s">
        <v>138</v>
      </c>
      <c r="C123" s="3"/>
      <c r="D123" s="3"/>
      <c r="E123" s="3"/>
    </row>
    <row r="124" spans="1:6" s="2" customFormat="1" ht="14.45" customHeight="1" x14ac:dyDescent="0.25">
      <c r="A124" s="7" t="s">
        <v>139</v>
      </c>
      <c r="C124" s="3"/>
      <c r="D124" s="3"/>
      <c r="E124" s="3"/>
    </row>
    <row r="125" spans="1:6" s="2" customFormat="1" ht="14.45" customHeight="1" x14ac:dyDescent="0.25">
      <c r="C125" s="3"/>
      <c r="D125" s="3"/>
      <c r="E125" s="3"/>
    </row>
    <row r="126" spans="1:6" s="2" customFormat="1" ht="14.45" customHeight="1" x14ac:dyDescent="0.25">
      <c r="C126" s="3"/>
      <c r="D126" s="3"/>
      <c r="E126" s="3"/>
    </row>
    <row r="127" spans="1:6" s="2" customFormat="1" ht="14.45" customHeight="1" x14ac:dyDescent="0.25">
      <c r="C127" s="3"/>
      <c r="D127" s="3"/>
      <c r="E127" s="3"/>
    </row>
    <row r="128" spans="1:6" s="2" customFormat="1" ht="14.45" customHeight="1" x14ac:dyDescent="0.25">
      <c r="A128" s="55" t="s">
        <v>200</v>
      </c>
      <c r="B128" s="55"/>
      <c r="C128" s="55"/>
      <c r="D128" s="55"/>
      <c r="E128" s="3"/>
    </row>
    <row r="129" spans="1:6" s="2" customFormat="1" ht="14.45" customHeight="1" x14ac:dyDescent="0.25">
      <c r="A129" s="55" t="s">
        <v>201</v>
      </c>
      <c r="B129" s="55"/>
      <c r="C129" s="55"/>
      <c r="D129" s="55"/>
      <c r="E129" s="3"/>
    </row>
    <row r="130" spans="1:6" s="2" customFormat="1" ht="14.45" customHeight="1" x14ac:dyDescent="0.25">
      <c r="A130" s="55" t="s">
        <v>202</v>
      </c>
      <c r="B130" s="55"/>
      <c r="C130" s="55"/>
      <c r="D130" s="55"/>
      <c r="E130" s="3"/>
    </row>
    <row r="131" spans="1:6" s="2" customFormat="1" ht="14.45" customHeight="1" x14ac:dyDescent="0.25">
      <c r="A131" s="55" t="s">
        <v>203</v>
      </c>
      <c r="B131" s="55"/>
      <c r="C131" s="55"/>
      <c r="D131" s="55"/>
      <c r="E131" s="3"/>
    </row>
    <row r="132" spans="1:6" s="2" customFormat="1" ht="14.45" customHeight="1" x14ac:dyDescent="0.25">
      <c r="A132" s="55" t="s">
        <v>204</v>
      </c>
      <c r="B132" s="55"/>
      <c r="C132" s="55"/>
      <c r="D132" s="55"/>
      <c r="E132" s="3"/>
    </row>
    <row r="133" spans="1:6" s="2" customFormat="1" ht="14.45" customHeight="1" x14ac:dyDescent="0.25">
      <c r="C133" s="3"/>
      <c r="D133" s="3"/>
      <c r="E133" s="3"/>
    </row>
    <row r="134" spans="1:6" s="2" customFormat="1" ht="14.45" customHeight="1" x14ac:dyDescent="0.25">
      <c r="C134" s="3"/>
      <c r="D134" s="3"/>
      <c r="E134" s="3"/>
    </row>
    <row r="135" spans="1:6" ht="14.45" customHeight="1" x14ac:dyDescent="0.25">
      <c r="A135" s="2"/>
      <c r="B135" s="2"/>
      <c r="C135" s="3"/>
      <c r="D135" s="3"/>
      <c r="E135" s="3"/>
      <c r="F135" s="2"/>
    </row>
    <row r="136" spans="1:6" ht="14.45" customHeight="1" x14ac:dyDescent="0.25">
      <c r="A136" s="2"/>
      <c r="B136" s="2"/>
      <c r="C136" s="3"/>
      <c r="D136" s="3"/>
      <c r="E136" s="3"/>
      <c r="F136" s="2"/>
    </row>
  </sheetData>
  <mergeCells count="31">
    <mergeCell ref="C73:D73"/>
    <mergeCell ref="A74:F74"/>
    <mergeCell ref="C80:D80"/>
    <mergeCell ref="A81:F81"/>
    <mergeCell ref="C83:D83"/>
    <mergeCell ref="C48:D48"/>
    <mergeCell ref="A49:F49"/>
    <mergeCell ref="C57:D57"/>
    <mergeCell ref="A58:F58"/>
    <mergeCell ref="C67:D67"/>
    <mergeCell ref="A84:F84"/>
    <mergeCell ref="A91:F91"/>
    <mergeCell ref="A93:F93"/>
    <mergeCell ref="A7:F7"/>
    <mergeCell ref="A1:F1"/>
    <mergeCell ref="A2:F2"/>
    <mergeCell ref="A3:F3"/>
    <mergeCell ref="A4:F4"/>
    <mergeCell ref="A5:F5"/>
    <mergeCell ref="A69:F69"/>
    <mergeCell ref="C17:D17"/>
    <mergeCell ref="A18:F18"/>
    <mergeCell ref="C28:D28"/>
    <mergeCell ref="A29:F29"/>
    <mergeCell ref="C38:D38"/>
    <mergeCell ref="A39:F39"/>
    <mergeCell ref="A129:D129"/>
    <mergeCell ref="A130:D130"/>
    <mergeCell ref="A128:D128"/>
    <mergeCell ref="A131:D131"/>
    <mergeCell ref="A132:D132"/>
  </mergeCells>
  <printOptions horizontalCentered="1"/>
  <pageMargins left="0.6692913385826772" right="0.23622047244094491" top="0.39370078740157483" bottom="0.39370078740157483" header="0.31496062992125984" footer="0.31496062992125984"/>
  <pageSetup paperSize="256" scale="85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J132"/>
  <sheetViews>
    <sheetView view="pageBreakPreview" topLeftCell="A73" zoomScale="130" zoomScaleNormal="130" zoomScaleSheetLayoutView="130" workbookViewId="0">
      <selection activeCell="E72" sqref="E72"/>
    </sheetView>
  </sheetViews>
  <sheetFormatPr defaultColWidth="8.85546875" defaultRowHeight="14.45" customHeight="1" x14ac:dyDescent="0.25"/>
  <cols>
    <col min="1" max="1" width="15.7109375" style="1" customWidth="1"/>
    <col min="2" max="2" width="53.42578125" style="1" bestFit="1" customWidth="1"/>
    <col min="3" max="4" width="6.7109375" style="4" customWidth="1"/>
    <col min="5" max="5" width="13.140625" style="4" bestFit="1" customWidth="1"/>
    <col min="6" max="6" width="15.7109375" style="1" customWidth="1"/>
    <col min="7" max="7" width="16.85546875" style="1" hidden="1" customWidth="1"/>
    <col min="8" max="16384" width="8.85546875" style="1"/>
  </cols>
  <sheetData>
    <row r="1" spans="1:10" ht="19.899999999999999" customHeight="1" x14ac:dyDescent="0.25">
      <c r="A1" s="58" t="s">
        <v>0</v>
      </c>
      <c r="B1" s="58"/>
      <c r="C1" s="58"/>
      <c r="D1" s="58"/>
      <c r="E1" s="58"/>
      <c r="F1" s="58"/>
    </row>
    <row r="2" spans="1:10" ht="14.45" customHeight="1" x14ac:dyDescent="0.25">
      <c r="A2" s="59" t="s">
        <v>1</v>
      </c>
      <c r="B2" s="59"/>
      <c r="C2" s="59"/>
      <c r="D2" s="59"/>
      <c r="E2" s="59"/>
      <c r="F2" s="59"/>
      <c r="G2" s="6"/>
    </row>
    <row r="3" spans="1:10" ht="14.45" customHeight="1" x14ac:dyDescent="0.25">
      <c r="A3" s="59" t="s">
        <v>186</v>
      </c>
      <c r="B3" s="59"/>
      <c r="C3" s="59"/>
      <c r="D3" s="59"/>
      <c r="E3" s="59"/>
      <c r="F3" s="59"/>
    </row>
    <row r="4" spans="1:10" ht="14.45" customHeight="1" x14ac:dyDescent="0.25">
      <c r="A4" s="61" t="s">
        <v>2</v>
      </c>
      <c r="B4" s="61"/>
      <c r="C4" s="61"/>
      <c r="D4" s="61"/>
      <c r="E4" s="61"/>
      <c r="F4" s="61"/>
    </row>
    <row r="5" spans="1:10" ht="14.45" customHeight="1" x14ac:dyDescent="0.3">
      <c r="A5" s="71" t="s">
        <v>187</v>
      </c>
      <c r="B5" s="71"/>
      <c r="C5" s="71"/>
      <c r="D5" s="71"/>
      <c r="E5" s="71"/>
      <c r="F5" s="71"/>
    </row>
    <row r="6" spans="1:10" ht="14.45" customHeight="1" x14ac:dyDescent="0.25">
      <c r="A6" s="62"/>
      <c r="B6" s="62"/>
      <c r="C6" s="62"/>
      <c r="D6" s="62"/>
      <c r="E6" s="62"/>
      <c r="F6" s="62"/>
    </row>
    <row r="7" spans="1:10" s="2" customFormat="1" ht="28.9" customHeight="1" x14ac:dyDescent="0.25">
      <c r="A7" s="19" t="s">
        <v>3</v>
      </c>
      <c r="B7" s="19" t="s">
        <v>4</v>
      </c>
      <c r="C7" s="19" t="s">
        <v>5</v>
      </c>
      <c r="D7" s="19" t="s">
        <v>6</v>
      </c>
      <c r="E7" s="19" t="s">
        <v>7</v>
      </c>
      <c r="F7" s="19" t="s">
        <v>8</v>
      </c>
    </row>
    <row r="8" spans="1:10" s="2" customFormat="1" ht="15" customHeight="1" x14ac:dyDescent="0.25">
      <c r="A8" s="56" t="s">
        <v>188</v>
      </c>
      <c r="B8" s="56"/>
      <c r="C8" s="56"/>
      <c r="D8" s="56"/>
      <c r="E8" s="56"/>
      <c r="F8" s="56"/>
    </row>
    <row r="9" spans="1:10" s="2" customFormat="1" ht="14.45" customHeight="1" x14ac:dyDescent="0.25">
      <c r="A9" s="5" t="s">
        <v>114</v>
      </c>
      <c r="B9" s="5" t="s">
        <v>10</v>
      </c>
      <c r="C9" s="20">
        <v>2</v>
      </c>
      <c r="D9" s="20">
        <v>1</v>
      </c>
      <c r="E9" s="20">
        <f>SUM(C9:D9)</f>
        <v>3</v>
      </c>
      <c r="F9" s="5" t="s">
        <v>11</v>
      </c>
      <c r="G9" s="2" t="s">
        <v>12</v>
      </c>
    </row>
    <row r="10" spans="1:10" s="2" customFormat="1" ht="14.25" customHeight="1" x14ac:dyDescent="0.25">
      <c r="A10" s="5" t="s">
        <v>89</v>
      </c>
      <c r="B10" s="5" t="s">
        <v>13</v>
      </c>
      <c r="C10" s="20">
        <v>2</v>
      </c>
      <c r="D10" s="20">
        <v>1</v>
      </c>
      <c r="E10" s="20">
        <f t="shared" ref="E10" si="0">SUM(C10:D10)</f>
        <v>3</v>
      </c>
      <c r="F10" s="5" t="s">
        <v>11</v>
      </c>
      <c r="G10" s="2" t="s">
        <v>12</v>
      </c>
    </row>
    <row r="11" spans="1:10" s="2" customFormat="1" ht="14.45" customHeight="1" x14ac:dyDescent="0.25">
      <c r="A11" s="5" t="s">
        <v>110</v>
      </c>
      <c r="B11" s="5" t="s">
        <v>33</v>
      </c>
      <c r="C11" s="20">
        <v>2</v>
      </c>
      <c r="D11" s="20">
        <v>1</v>
      </c>
      <c r="E11" s="20">
        <v>3</v>
      </c>
      <c r="F11" s="5" t="s">
        <v>11</v>
      </c>
      <c r="G11" s="2" t="s">
        <v>12</v>
      </c>
      <c r="J11" s="2" t="s">
        <v>34</v>
      </c>
    </row>
    <row r="12" spans="1:10" s="2" customFormat="1" ht="14.45" customHeight="1" x14ac:dyDescent="0.25">
      <c r="A12" s="5" t="s">
        <v>115</v>
      </c>
      <c r="B12" s="5" t="s">
        <v>32</v>
      </c>
      <c r="C12" s="20">
        <v>2</v>
      </c>
      <c r="D12" s="20">
        <v>1</v>
      </c>
      <c r="E12" s="20">
        <v>3</v>
      </c>
      <c r="F12" s="5" t="s">
        <v>89</v>
      </c>
      <c r="G12" s="2" t="s">
        <v>12</v>
      </c>
    </row>
    <row r="13" spans="1:10" s="2" customFormat="1" ht="14.45" customHeight="1" x14ac:dyDescent="0.25">
      <c r="A13" s="5" t="s">
        <v>116</v>
      </c>
      <c r="B13" s="5" t="s">
        <v>45</v>
      </c>
      <c r="C13" s="20">
        <v>2</v>
      </c>
      <c r="D13" s="20">
        <v>1</v>
      </c>
      <c r="E13" s="20">
        <v>3</v>
      </c>
      <c r="F13" s="5" t="s">
        <v>115</v>
      </c>
      <c r="G13" s="2" t="s">
        <v>12</v>
      </c>
    </row>
    <row r="14" spans="1:10" s="2" customFormat="1" ht="14.25" customHeight="1" x14ac:dyDescent="0.25">
      <c r="A14" s="5" t="s">
        <v>121</v>
      </c>
      <c r="B14" s="5" t="s">
        <v>46</v>
      </c>
      <c r="C14" s="20">
        <v>2</v>
      </c>
      <c r="D14" s="20">
        <v>1</v>
      </c>
      <c r="E14" s="20">
        <v>3</v>
      </c>
      <c r="F14" s="5" t="s">
        <v>115</v>
      </c>
      <c r="G14" s="2" t="s">
        <v>12</v>
      </c>
    </row>
    <row r="15" spans="1:10" s="2" customFormat="1" ht="14.25" customHeight="1" x14ac:dyDescent="0.25">
      <c r="A15" s="5"/>
      <c r="B15" s="5"/>
      <c r="C15" s="20"/>
      <c r="D15" s="20"/>
      <c r="E15" s="20">
        <f>SUM(E9:E14)</f>
        <v>18</v>
      </c>
      <c r="F15" s="5"/>
    </row>
    <row r="16" spans="1:10" s="2" customFormat="1" ht="15" customHeight="1" x14ac:dyDescent="0.25">
      <c r="A16" s="56" t="s">
        <v>189</v>
      </c>
      <c r="B16" s="56"/>
      <c r="C16" s="56"/>
      <c r="D16" s="56"/>
      <c r="E16" s="56"/>
      <c r="F16" s="56"/>
    </row>
    <row r="17" spans="1:10" s="2" customFormat="1" ht="14.25" customHeight="1" x14ac:dyDescent="0.25">
      <c r="A17" s="5" t="s">
        <v>93</v>
      </c>
      <c r="B17" s="5" t="s">
        <v>14</v>
      </c>
      <c r="C17" s="20">
        <v>2</v>
      </c>
      <c r="D17" s="20">
        <v>1</v>
      </c>
      <c r="E17" s="20">
        <v>3</v>
      </c>
      <c r="F17" s="5" t="s">
        <v>11</v>
      </c>
      <c r="G17" s="2" t="s">
        <v>99</v>
      </c>
    </row>
    <row r="18" spans="1:10" s="2" customFormat="1" ht="14.45" customHeight="1" x14ac:dyDescent="0.25">
      <c r="A18" s="5" t="s">
        <v>94</v>
      </c>
      <c r="B18" s="5" t="s">
        <v>75</v>
      </c>
      <c r="C18" s="20">
        <v>3</v>
      </c>
      <c r="D18" s="20">
        <v>0</v>
      </c>
      <c r="E18" s="20">
        <v>3</v>
      </c>
      <c r="F18" s="5" t="s">
        <v>11</v>
      </c>
      <c r="G18" s="2" t="s">
        <v>99</v>
      </c>
    </row>
    <row r="19" spans="1:10" s="2" customFormat="1" ht="14.45" customHeight="1" x14ac:dyDescent="0.25">
      <c r="A19" s="5" t="s">
        <v>88</v>
      </c>
      <c r="B19" s="5" t="s">
        <v>87</v>
      </c>
      <c r="C19" s="20">
        <v>3</v>
      </c>
      <c r="D19" s="20">
        <v>0</v>
      </c>
      <c r="E19" s="20">
        <v>3</v>
      </c>
      <c r="F19" s="5" t="s">
        <v>23</v>
      </c>
      <c r="G19" s="2" t="s">
        <v>99</v>
      </c>
    </row>
    <row r="20" spans="1:10" s="2" customFormat="1" ht="14.45" customHeight="1" x14ac:dyDescent="0.25">
      <c r="A20" s="5" t="s">
        <v>103</v>
      </c>
      <c r="B20" s="5" t="s">
        <v>53</v>
      </c>
      <c r="C20" s="20">
        <v>3</v>
      </c>
      <c r="D20" s="20">
        <v>0</v>
      </c>
      <c r="E20" s="20">
        <v>3</v>
      </c>
      <c r="F20" s="5" t="s">
        <v>11</v>
      </c>
      <c r="G20" s="2" t="s">
        <v>99</v>
      </c>
      <c r="J20" s="2" t="s">
        <v>34</v>
      </c>
    </row>
    <row r="21" spans="1:10" s="2" customFormat="1" ht="14.45" customHeight="1" x14ac:dyDescent="0.25">
      <c r="A21" s="5" t="s">
        <v>104</v>
      </c>
      <c r="B21" s="5" t="s">
        <v>55</v>
      </c>
      <c r="C21" s="20">
        <v>3</v>
      </c>
      <c r="D21" s="20">
        <v>0</v>
      </c>
      <c r="E21" s="20">
        <v>3</v>
      </c>
      <c r="F21" s="5" t="s">
        <v>23</v>
      </c>
      <c r="G21" s="2" t="s">
        <v>99</v>
      </c>
    </row>
    <row r="22" spans="1:10" s="2" customFormat="1" ht="14.45" customHeight="1" x14ac:dyDescent="0.25">
      <c r="A22" s="5" t="s">
        <v>118</v>
      </c>
      <c r="B22" s="5" t="s">
        <v>47</v>
      </c>
      <c r="C22" s="20">
        <v>2</v>
      </c>
      <c r="D22" s="20">
        <v>1</v>
      </c>
      <c r="E22" s="20">
        <v>3</v>
      </c>
      <c r="F22" s="5" t="s">
        <v>114</v>
      </c>
      <c r="G22" s="2" t="s">
        <v>99</v>
      </c>
    </row>
    <row r="23" spans="1:10" s="2" customFormat="1" ht="14.45" customHeight="1" x14ac:dyDescent="0.25">
      <c r="A23" s="5" t="s">
        <v>122</v>
      </c>
      <c r="B23" s="5" t="s">
        <v>54</v>
      </c>
      <c r="C23" s="20">
        <v>2</v>
      </c>
      <c r="D23" s="20">
        <v>1</v>
      </c>
      <c r="E23" s="20">
        <v>3</v>
      </c>
      <c r="F23" s="5" t="s">
        <v>118</v>
      </c>
      <c r="G23" s="2" t="s">
        <v>99</v>
      </c>
    </row>
    <row r="24" spans="1:10" s="2" customFormat="1" ht="14.45" customHeight="1" x14ac:dyDescent="0.25">
      <c r="A24" s="5" t="s">
        <v>120</v>
      </c>
      <c r="B24" s="5" t="s">
        <v>49</v>
      </c>
      <c r="C24" s="20">
        <v>2</v>
      </c>
      <c r="D24" s="20">
        <v>1</v>
      </c>
      <c r="E24" s="20">
        <v>3</v>
      </c>
      <c r="F24" s="5" t="s">
        <v>110</v>
      </c>
      <c r="G24" s="2" t="s">
        <v>99</v>
      </c>
    </row>
    <row r="25" spans="1:10" s="2" customFormat="1" ht="14.45" customHeight="1" x14ac:dyDescent="0.25">
      <c r="A25" s="5" t="s">
        <v>123</v>
      </c>
      <c r="B25" s="5" t="s">
        <v>64</v>
      </c>
      <c r="C25" s="20">
        <v>3</v>
      </c>
      <c r="D25" s="20">
        <v>0</v>
      </c>
      <c r="E25" s="20">
        <v>3</v>
      </c>
      <c r="F25" s="5" t="s">
        <v>103</v>
      </c>
      <c r="G25" s="2" t="s">
        <v>99</v>
      </c>
    </row>
    <row r="26" spans="1:10" s="2" customFormat="1" ht="14.45" customHeight="1" x14ac:dyDescent="0.25">
      <c r="A26" s="5" t="s">
        <v>125</v>
      </c>
      <c r="B26" s="5" t="s">
        <v>61</v>
      </c>
      <c r="C26" s="20">
        <v>3</v>
      </c>
      <c r="D26" s="20">
        <v>0</v>
      </c>
      <c r="E26" s="20">
        <v>3</v>
      </c>
      <c r="F26" s="5" t="s">
        <v>93</v>
      </c>
      <c r="G26" s="2" t="s">
        <v>99</v>
      </c>
    </row>
    <row r="27" spans="1:10" s="2" customFormat="1" ht="14.45" customHeight="1" x14ac:dyDescent="0.25">
      <c r="A27" s="5" t="s">
        <v>128</v>
      </c>
      <c r="B27" s="5" t="s">
        <v>71</v>
      </c>
      <c r="C27" s="20">
        <v>2</v>
      </c>
      <c r="D27" s="20">
        <v>1</v>
      </c>
      <c r="E27" s="20">
        <v>3</v>
      </c>
      <c r="F27" s="5" t="s">
        <v>118</v>
      </c>
      <c r="G27" s="2" t="s">
        <v>99</v>
      </c>
    </row>
    <row r="28" spans="1:10" s="2" customFormat="1" ht="14.45" customHeight="1" x14ac:dyDescent="0.25">
      <c r="A28" s="5" t="s">
        <v>129</v>
      </c>
      <c r="B28" s="5" t="s">
        <v>72</v>
      </c>
      <c r="C28" s="20">
        <v>3</v>
      </c>
      <c r="D28" s="20">
        <v>0</v>
      </c>
      <c r="E28" s="20">
        <v>3</v>
      </c>
      <c r="F28" s="5" t="s">
        <v>93</v>
      </c>
      <c r="G28" s="2" t="s">
        <v>99</v>
      </c>
    </row>
    <row r="29" spans="1:10" s="2" customFormat="1" ht="14.45" customHeight="1" x14ac:dyDescent="0.25">
      <c r="A29" s="5" t="s">
        <v>105</v>
      </c>
      <c r="B29" s="5" t="s">
        <v>76</v>
      </c>
      <c r="C29" s="20">
        <v>3</v>
      </c>
      <c r="D29" s="20">
        <v>0</v>
      </c>
      <c r="E29" s="20">
        <v>3</v>
      </c>
      <c r="F29" s="5" t="s">
        <v>93</v>
      </c>
      <c r="G29" s="2" t="s">
        <v>99</v>
      </c>
    </row>
    <row r="30" spans="1:10" s="2" customFormat="1" ht="14.45" customHeight="1" x14ac:dyDescent="0.25">
      <c r="A30" s="5" t="s">
        <v>127</v>
      </c>
      <c r="B30" s="5" t="s">
        <v>63</v>
      </c>
      <c r="C30" s="20">
        <v>3</v>
      </c>
      <c r="D30" s="20">
        <v>0</v>
      </c>
      <c r="E30" s="20">
        <v>3</v>
      </c>
      <c r="F30" s="5" t="s">
        <v>124</v>
      </c>
      <c r="G30" s="2" t="s">
        <v>99</v>
      </c>
    </row>
    <row r="31" spans="1:10" s="2" customFormat="1" ht="14.45" customHeight="1" x14ac:dyDescent="0.25">
      <c r="A31" s="5" t="s">
        <v>130</v>
      </c>
      <c r="B31" s="5" t="s">
        <v>74</v>
      </c>
      <c r="C31" s="20">
        <v>3</v>
      </c>
      <c r="D31" s="20">
        <v>0</v>
      </c>
      <c r="E31" s="20">
        <v>3</v>
      </c>
      <c r="F31" s="5" t="s">
        <v>127</v>
      </c>
      <c r="G31" s="2" t="s">
        <v>99</v>
      </c>
    </row>
    <row r="32" spans="1:10" s="2" customFormat="1" ht="14.45" customHeight="1" x14ac:dyDescent="0.25">
      <c r="A32" s="22" t="s">
        <v>131</v>
      </c>
      <c r="B32" s="23" t="s">
        <v>100</v>
      </c>
      <c r="C32" s="24">
        <v>6</v>
      </c>
      <c r="D32" s="24">
        <v>0</v>
      </c>
      <c r="E32" s="24">
        <v>6</v>
      </c>
      <c r="F32" s="22" t="s">
        <v>111</v>
      </c>
      <c r="G32" s="2" t="s">
        <v>99</v>
      </c>
    </row>
    <row r="33" spans="1:10" s="2" customFormat="1" ht="14.45" customHeight="1" x14ac:dyDescent="0.25">
      <c r="A33" s="28"/>
      <c r="B33" s="29"/>
      <c r="C33" s="30"/>
      <c r="D33" s="30"/>
      <c r="E33" s="30">
        <f>SUM(E17:E32)</f>
        <v>51</v>
      </c>
      <c r="F33" s="31"/>
    </row>
    <row r="34" spans="1:10" s="2" customFormat="1" ht="14.45" customHeight="1" x14ac:dyDescent="0.25">
      <c r="A34" s="65" t="s">
        <v>190</v>
      </c>
      <c r="B34" s="66"/>
      <c r="C34" s="66"/>
      <c r="D34" s="66"/>
      <c r="E34" s="66"/>
      <c r="F34" s="67"/>
    </row>
    <row r="35" spans="1:10" s="2" customFormat="1" ht="14.45" customHeight="1" x14ac:dyDescent="0.25">
      <c r="A35" s="5" t="s">
        <v>101</v>
      </c>
      <c r="B35" s="5" t="s">
        <v>80</v>
      </c>
      <c r="C35" s="20">
        <v>2</v>
      </c>
      <c r="D35" s="20">
        <v>1</v>
      </c>
      <c r="E35" s="20">
        <v>3</v>
      </c>
      <c r="F35" s="5" t="s">
        <v>89</v>
      </c>
      <c r="G35" s="2" t="s">
        <v>107</v>
      </c>
    </row>
    <row r="36" spans="1:10" s="2" customFormat="1" ht="14.45" customHeight="1" x14ac:dyDescent="0.25">
      <c r="A36" s="5" t="s">
        <v>117</v>
      </c>
      <c r="B36" s="5" t="s">
        <v>48</v>
      </c>
      <c r="C36" s="20">
        <v>2</v>
      </c>
      <c r="D36" s="20">
        <v>1</v>
      </c>
      <c r="E36" s="20">
        <v>3</v>
      </c>
      <c r="F36" s="5" t="s">
        <v>89</v>
      </c>
      <c r="G36" s="2" t="s">
        <v>107</v>
      </c>
    </row>
    <row r="37" spans="1:10" s="2" customFormat="1" ht="14.45" customHeight="1" x14ac:dyDescent="0.25">
      <c r="A37" s="5" t="s">
        <v>119</v>
      </c>
      <c r="B37" s="5" t="s">
        <v>52</v>
      </c>
      <c r="C37" s="20">
        <v>2</v>
      </c>
      <c r="D37" s="20">
        <v>1</v>
      </c>
      <c r="E37" s="20">
        <v>3</v>
      </c>
      <c r="F37" s="5" t="s">
        <v>117</v>
      </c>
      <c r="G37" s="2" t="s">
        <v>107</v>
      </c>
      <c r="J37" s="2" t="s">
        <v>34</v>
      </c>
    </row>
    <row r="38" spans="1:10" s="2" customFormat="1" ht="14.45" customHeight="1" x14ac:dyDescent="0.25">
      <c r="A38" s="5" t="s">
        <v>124</v>
      </c>
      <c r="B38" s="5" t="s">
        <v>60</v>
      </c>
      <c r="C38" s="20">
        <v>3</v>
      </c>
      <c r="D38" s="20">
        <v>0</v>
      </c>
      <c r="E38" s="20">
        <v>3</v>
      </c>
      <c r="F38" s="5" t="s">
        <v>120</v>
      </c>
      <c r="G38" s="2" t="s">
        <v>107</v>
      </c>
    </row>
    <row r="39" spans="1:10" s="2" customFormat="1" ht="14.45" customHeight="1" x14ac:dyDescent="0.25">
      <c r="A39" s="5" t="s">
        <v>126</v>
      </c>
      <c r="B39" s="5" t="s">
        <v>142</v>
      </c>
      <c r="C39" s="20">
        <v>2</v>
      </c>
      <c r="D39" s="20">
        <v>1</v>
      </c>
      <c r="E39" s="20">
        <v>3</v>
      </c>
      <c r="F39" s="5" t="s">
        <v>118</v>
      </c>
      <c r="G39" s="2" t="s">
        <v>107</v>
      </c>
    </row>
    <row r="40" spans="1:10" s="2" customFormat="1" ht="14.45" customHeight="1" x14ac:dyDescent="0.25">
      <c r="A40" s="5" t="s">
        <v>95</v>
      </c>
      <c r="B40" s="5" t="s">
        <v>96</v>
      </c>
      <c r="C40" s="20">
        <v>2</v>
      </c>
      <c r="D40" s="20">
        <v>1</v>
      </c>
      <c r="E40" s="20">
        <v>3</v>
      </c>
      <c r="F40" s="5" t="s">
        <v>114</v>
      </c>
      <c r="G40" s="2" t="s">
        <v>107</v>
      </c>
    </row>
    <row r="41" spans="1:10" s="2" customFormat="1" ht="14.45" customHeight="1" x14ac:dyDescent="0.25">
      <c r="A41" s="5" t="s">
        <v>113</v>
      </c>
      <c r="B41" s="5" t="s">
        <v>191</v>
      </c>
      <c r="C41" s="20">
        <v>2</v>
      </c>
      <c r="D41" s="20">
        <v>1</v>
      </c>
      <c r="E41" s="20">
        <v>3</v>
      </c>
      <c r="F41" s="5" t="s">
        <v>110</v>
      </c>
      <c r="G41" s="2" t="s">
        <v>107</v>
      </c>
    </row>
    <row r="42" spans="1:10" s="2" customFormat="1" ht="14.45" customHeight="1" x14ac:dyDescent="0.25">
      <c r="A42" s="5" t="s">
        <v>91</v>
      </c>
      <c r="B42" s="5" t="s">
        <v>192</v>
      </c>
      <c r="C42" s="20">
        <v>3</v>
      </c>
      <c r="D42" s="20">
        <v>0</v>
      </c>
      <c r="E42" s="20">
        <v>3</v>
      </c>
      <c r="F42" s="5" t="s">
        <v>93</v>
      </c>
      <c r="G42" s="2" t="s">
        <v>107</v>
      </c>
    </row>
    <row r="43" spans="1:10" s="2" customFormat="1" ht="14.45" customHeight="1" x14ac:dyDescent="0.25">
      <c r="A43" s="5" t="s">
        <v>162</v>
      </c>
      <c r="B43" s="5" t="s">
        <v>163</v>
      </c>
      <c r="C43" s="20">
        <v>3</v>
      </c>
      <c r="D43" s="20">
        <v>0</v>
      </c>
      <c r="E43" s="20">
        <v>3</v>
      </c>
      <c r="F43" s="5" t="s">
        <v>164</v>
      </c>
    </row>
    <row r="44" spans="1:10" s="2" customFormat="1" ht="14.45" customHeight="1" x14ac:dyDescent="0.25">
      <c r="A44" s="5" t="s">
        <v>173</v>
      </c>
      <c r="B44" s="5" t="s">
        <v>174</v>
      </c>
      <c r="C44" s="20">
        <v>2</v>
      </c>
      <c r="D44" s="20">
        <v>1</v>
      </c>
      <c r="E44" s="20">
        <v>3</v>
      </c>
      <c r="F44" s="5" t="s">
        <v>164</v>
      </c>
    </row>
    <row r="45" spans="1:10" s="2" customFormat="1" ht="14.45" customHeight="1" x14ac:dyDescent="0.25">
      <c r="A45" s="5" t="s">
        <v>160</v>
      </c>
      <c r="B45" s="5" t="s">
        <v>161</v>
      </c>
      <c r="C45" s="20">
        <v>3</v>
      </c>
      <c r="D45" s="20">
        <v>0</v>
      </c>
      <c r="E45" s="20">
        <v>3</v>
      </c>
      <c r="F45" s="5" t="s">
        <v>102</v>
      </c>
    </row>
    <row r="46" spans="1:10" s="2" customFormat="1" ht="14.45" customHeight="1" x14ac:dyDescent="0.25">
      <c r="A46" s="5" t="s">
        <v>97</v>
      </c>
      <c r="B46" s="5" t="s">
        <v>98</v>
      </c>
      <c r="C46" s="20">
        <v>3</v>
      </c>
      <c r="D46" s="20">
        <v>0</v>
      </c>
      <c r="E46" s="20">
        <v>3</v>
      </c>
      <c r="F46" s="5" t="s">
        <v>102</v>
      </c>
      <c r="G46" s="2" t="s">
        <v>99</v>
      </c>
    </row>
    <row r="47" spans="1:10" s="2" customFormat="1" ht="14.45" customHeight="1" x14ac:dyDescent="0.25">
      <c r="A47" s="5" t="s">
        <v>102</v>
      </c>
      <c r="B47" s="5" t="s">
        <v>92</v>
      </c>
      <c r="C47" s="20">
        <v>3</v>
      </c>
      <c r="D47" s="20">
        <v>0</v>
      </c>
      <c r="E47" s="20">
        <v>3</v>
      </c>
      <c r="F47" s="5" t="s">
        <v>94</v>
      </c>
      <c r="G47" s="2" t="s">
        <v>107</v>
      </c>
    </row>
    <row r="48" spans="1:10" s="2" customFormat="1" ht="14.45" customHeight="1" x14ac:dyDescent="0.25">
      <c r="A48" s="5" t="s">
        <v>152</v>
      </c>
      <c r="B48" s="5" t="s">
        <v>35</v>
      </c>
      <c r="C48" s="20">
        <v>3</v>
      </c>
      <c r="D48" s="20">
        <v>0</v>
      </c>
      <c r="E48" s="20">
        <f>SUM(C48:D48)</f>
        <v>3</v>
      </c>
      <c r="F48" s="5" t="s">
        <v>21</v>
      </c>
      <c r="G48" s="2" t="s">
        <v>108</v>
      </c>
    </row>
    <row r="49" spans="1:7" s="27" customFormat="1" ht="14.45" customHeight="1" x14ac:dyDescent="0.25">
      <c r="A49" s="26"/>
      <c r="B49" s="26"/>
      <c r="C49" s="17"/>
      <c r="D49" s="17"/>
      <c r="E49" s="20">
        <f>SUM(E35:E48)</f>
        <v>42</v>
      </c>
      <c r="F49" s="26"/>
    </row>
    <row r="50" spans="1:7" s="27" customFormat="1" ht="14.45" customHeight="1" x14ac:dyDescent="0.25">
      <c r="A50" s="68" t="s">
        <v>185</v>
      </c>
      <c r="B50" s="69"/>
      <c r="C50" s="69"/>
      <c r="D50" s="69"/>
      <c r="E50" s="69"/>
      <c r="F50" s="70"/>
    </row>
    <row r="51" spans="1:7" s="2" customFormat="1" ht="14.45" customHeight="1" x14ac:dyDescent="0.25">
      <c r="A51" s="5" t="s">
        <v>158</v>
      </c>
      <c r="B51" s="5" t="s">
        <v>159</v>
      </c>
      <c r="C51" s="20">
        <v>2</v>
      </c>
      <c r="D51" s="20">
        <v>1</v>
      </c>
      <c r="E51" s="20">
        <v>3</v>
      </c>
      <c r="F51" s="5" t="s">
        <v>93</v>
      </c>
    </row>
    <row r="52" spans="1:7" s="2" customFormat="1" ht="14.45" customHeight="1" x14ac:dyDescent="0.25">
      <c r="A52" s="5" t="s">
        <v>165</v>
      </c>
      <c r="B52" s="5" t="s">
        <v>166</v>
      </c>
      <c r="C52" s="20">
        <v>3</v>
      </c>
      <c r="D52" s="20">
        <v>0</v>
      </c>
      <c r="E52" s="20">
        <v>3</v>
      </c>
      <c r="F52" s="5" t="s">
        <v>93</v>
      </c>
    </row>
    <row r="53" spans="1:7" s="2" customFormat="1" ht="14.45" customHeight="1" x14ac:dyDescent="0.25">
      <c r="A53" s="5" t="s">
        <v>167</v>
      </c>
      <c r="B53" s="5" t="s">
        <v>168</v>
      </c>
      <c r="C53" s="20">
        <v>3</v>
      </c>
      <c r="D53" s="20">
        <v>0</v>
      </c>
      <c r="E53" s="20">
        <v>3</v>
      </c>
      <c r="F53" s="5" t="s">
        <v>93</v>
      </c>
    </row>
    <row r="54" spans="1:7" s="2" customFormat="1" ht="14.45" customHeight="1" x14ac:dyDescent="0.25">
      <c r="A54" s="5" t="s">
        <v>169</v>
      </c>
      <c r="B54" s="5" t="s">
        <v>170</v>
      </c>
      <c r="C54" s="20">
        <v>2</v>
      </c>
      <c r="D54" s="20">
        <v>1</v>
      </c>
      <c r="E54" s="20">
        <v>3</v>
      </c>
      <c r="F54" s="5" t="s">
        <v>105</v>
      </c>
    </row>
    <row r="55" spans="1:7" s="2" customFormat="1" ht="14.45" customHeight="1" x14ac:dyDescent="0.25">
      <c r="A55" s="5" t="s">
        <v>171</v>
      </c>
      <c r="B55" s="5" t="s">
        <v>172</v>
      </c>
      <c r="C55" s="20">
        <v>2</v>
      </c>
      <c r="D55" s="20">
        <v>1</v>
      </c>
      <c r="E55" s="20">
        <v>3</v>
      </c>
      <c r="F55" s="5" t="s">
        <v>113</v>
      </c>
    </row>
    <row r="56" spans="1:7" s="2" customFormat="1" ht="14.45" customHeight="1" x14ac:dyDescent="0.25">
      <c r="A56" s="5" t="s">
        <v>175</v>
      </c>
      <c r="B56" s="5" t="s">
        <v>176</v>
      </c>
      <c r="C56" s="20">
        <v>3</v>
      </c>
      <c r="D56" s="20">
        <v>0</v>
      </c>
      <c r="E56" s="20">
        <v>3</v>
      </c>
      <c r="F56" s="5" t="s">
        <v>11</v>
      </c>
    </row>
    <row r="57" spans="1:7" s="2" customFormat="1" ht="14.45" customHeight="1" x14ac:dyDescent="0.25">
      <c r="A57" s="5"/>
      <c r="B57" s="5"/>
      <c r="C57" s="20"/>
      <c r="D57" s="20"/>
      <c r="E57" s="20">
        <v>9</v>
      </c>
      <c r="F57" s="5"/>
    </row>
    <row r="58" spans="1:7" s="2" customFormat="1" ht="14.45" customHeight="1" x14ac:dyDescent="0.25">
      <c r="A58" s="56" t="s">
        <v>193</v>
      </c>
      <c r="B58" s="57"/>
      <c r="C58" s="57"/>
      <c r="D58" s="57"/>
      <c r="E58" s="57"/>
      <c r="F58" s="57"/>
    </row>
    <row r="59" spans="1:7" s="2" customFormat="1" ht="14.45" customHeight="1" x14ac:dyDescent="0.25">
      <c r="A59" s="5" t="s">
        <v>16</v>
      </c>
      <c r="B59" s="5" t="s">
        <v>17</v>
      </c>
      <c r="C59" s="20">
        <v>3</v>
      </c>
      <c r="D59" s="20">
        <v>0</v>
      </c>
      <c r="E59" s="20">
        <f t="shared" ref="E59:E66" si="1">SUM(C59:D59)</f>
        <v>3</v>
      </c>
      <c r="F59" s="5" t="s">
        <v>11</v>
      </c>
      <c r="G59" s="2" t="s">
        <v>81</v>
      </c>
    </row>
    <row r="60" spans="1:7" s="2" customFormat="1" ht="14.45" customHeight="1" x14ac:dyDescent="0.25">
      <c r="A60" s="5" t="s">
        <v>21</v>
      </c>
      <c r="B60" s="5" t="s">
        <v>22</v>
      </c>
      <c r="C60" s="20">
        <v>3</v>
      </c>
      <c r="D60" s="20">
        <v>0</v>
      </c>
      <c r="E60" s="20">
        <f t="shared" si="1"/>
        <v>3</v>
      </c>
      <c r="F60" s="5" t="s">
        <v>11</v>
      </c>
      <c r="G60" s="2" t="s">
        <v>81</v>
      </c>
    </row>
    <row r="61" spans="1:7" s="2" customFormat="1" ht="14.45" customHeight="1" x14ac:dyDescent="0.25">
      <c r="A61" s="5" t="s">
        <v>23</v>
      </c>
      <c r="B61" s="5" t="s">
        <v>24</v>
      </c>
      <c r="C61" s="20">
        <v>3</v>
      </c>
      <c r="D61" s="20">
        <v>0</v>
      </c>
      <c r="E61" s="20">
        <f t="shared" si="1"/>
        <v>3</v>
      </c>
      <c r="F61" s="5" t="s">
        <v>11</v>
      </c>
      <c r="G61" s="2" t="s">
        <v>81</v>
      </c>
    </row>
    <row r="62" spans="1:7" s="2" customFormat="1" ht="14.45" customHeight="1" x14ac:dyDescent="0.25">
      <c r="A62" s="5" t="s">
        <v>18</v>
      </c>
      <c r="B62" s="5" t="s">
        <v>19</v>
      </c>
      <c r="C62" s="20">
        <v>3</v>
      </c>
      <c r="D62" s="20">
        <v>0</v>
      </c>
      <c r="E62" s="20">
        <f t="shared" si="1"/>
        <v>3</v>
      </c>
      <c r="F62" s="5" t="s">
        <v>11</v>
      </c>
      <c r="G62" s="2" t="s">
        <v>81</v>
      </c>
    </row>
    <row r="63" spans="1:7" s="2" customFormat="1" ht="14.45" customHeight="1" x14ac:dyDescent="0.25">
      <c r="A63" s="5" t="s">
        <v>39</v>
      </c>
      <c r="B63" s="5" t="s">
        <v>40</v>
      </c>
      <c r="C63" s="20">
        <v>3</v>
      </c>
      <c r="D63" s="20">
        <v>0</v>
      </c>
      <c r="E63" s="20">
        <f t="shared" si="1"/>
        <v>3</v>
      </c>
      <c r="F63" s="5" t="s">
        <v>11</v>
      </c>
      <c r="G63" s="2" t="s">
        <v>81</v>
      </c>
    </row>
    <row r="64" spans="1:7" s="2" customFormat="1" ht="14.45" customHeight="1" x14ac:dyDescent="0.25">
      <c r="A64" s="5" t="s">
        <v>56</v>
      </c>
      <c r="B64" s="5" t="s">
        <v>57</v>
      </c>
      <c r="C64" s="20">
        <v>3</v>
      </c>
      <c r="D64" s="20">
        <v>0</v>
      </c>
      <c r="E64" s="20">
        <f t="shared" si="1"/>
        <v>3</v>
      </c>
      <c r="F64" s="5" t="s">
        <v>11</v>
      </c>
      <c r="G64" s="2" t="s">
        <v>81</v>
      </c>
    </row>
    <row r="65" spans="1:7" s="2" customFormat="1" ht="14.45" customHeight="1" x14ac:dyDescent="0.25">
      <c r="A65" s="5" t="s">
        <v>37</v>
      </c>
      <c r="B65" s="5" t="s">
        <v>38</v>
      </c>
      <c r="C65" s="20">
        <v>3</v>
      </c>
      <c r="D65" s="20">
        <v>0</v>
      </c>
      <c r="E65" s="20">
        <f t="shared" si="1"/>
        <v>3</v>
      </c>
      <c r="F65" s="5" t="s">
        <v>11</v>
      </c>
      <c r="G65" s="2" t="s">
        <v>81</v>
      </c>
    </row>
    <row r="66" spans="1:7" s="2" customFormat="1" ht="14.45" customHeight="1" x14ac:dyDescent="0.25">
      <c r="A66" s="5" t="s">
        <v>77</v>
      </c>
      <c r="B66" s="5" t="s">
        <v>78</v>
      </c>
      <c r="C66" s="20">
        <v>3</v>
      </c>
      <c r="D66" s="20">
        <v>0</v>
      </c>
      <c r="E66" s="20">
        <f t="shared" si="1"/>
        <v>3</v>
      </c>
      <c r="F66" s="5" t="s">
        <v>11</v>
      </c>
      <c r="G66" s="2" t="s">
        <v>81</v>
      </c>
    </row>
    <row r="67" spans="1:7" s="2" customFormat="1" ht="14.25" customHeight="1" x14ac:dyDescent="0.25">
      <c r="A67" s="5" t="s">
        <v>65</v>
      </c>
      <c r="B67" s="5" t="s">
        <v>66</v>
      </c>
      <c r="C67" s="20">
        <v>3</v>
      </c>
      <c r="D67" s="20">
        <v>0</v>
      </c>
      <c r="E67" s="20">
        <f>SUM(C67:D67)</f>
        <v>3</v>
      </c>
      <c r="F67" s="5" t="s">
        <v>11</v>
      </c>
      <c r="G67" s="2" t="s">
        <v>81</v>
      </c>
    </row>
    <row r="68" spans="1:7" s="2" customFormat="1" ht="14.25" customHeight="1" x14ac:dyDescent="0.25">
      <c r="A68" s="5"/>
      <c r="B68" s="5"/>
      <c r="C68" s="20"/>
      <c r="D68" s="20"/>
      <c r="E68" s="17">
        <f>SUM(E59:E67)</f>
        <v>27</v>
      </c>
      <c r="F68" s="5"/>
    </row>
    <row r="69" spans="1:7" s="2" customFormat="1" ht="14.45" customHeight="1" x14ac:dyDescent="0.25">
      <c r="A69" s="56" t="s">
        <v>194</v>
      </c>
      <c r="B69" s="57"/>
      <c r="C69" s="57"/>
      <c r="D69" s="57"/>
      <c r="E69" s="57"/>
      <c r="F69" s="57"/>
    </row>
    <row r="70" spans="1:7" s="2" customFormat="1" ht="14.45" customHeight="1" x14ac:dyDescent="0.25">
      <c r="A70" s="5" t="s">
        <v>145</v>
      </c>
      <c r="B70" s="5" t="s">
        <v>146</v>
      </c>
      <c r="C70" s="20">
        <v>3</v>
      </c>
      <c r="D70" s="20">
        <v>0</v>
      </c>
      <c r="E70" s="20">
        <f t="shared" ref="E70" si="2">SUM(C70:D70)</f>
        <v>3</v>
      </c>
      <c r="F70" s="5" t="s">
        <v>11</v>
      </c>
      <c r="G70" s="2" t="s">
        <v>81</v>
      </c>
    </row>
    <row r="71" spans="1:7" s="2" customFormat="1" ht="14.45" customHeight="1" x14ac:dyDescent="0.25">
      <c r="A71" s="5" t="s">
        <v>151</v>
      </c>
      <c r="B71" s="5" t="s">
        <v>147</v>
      </c>
      <c r="C71" s="20">
        <v>3</v>
      </c>
      <c r="D71" s="20">
        <v>0</v>
      </c>
      <c r="E71" s="20">
        <v>3</v>
      </c>
      <c r="F71" s="5" t="s">
        <v>11</v>
      </c>
      <c r="G71" s="2" t="s">
        <v>81</v>
      </c>
    </row>
    <row r="72" spans="1:7" s="2" customFormat="1" ht="14.45" customHeight="1" x14ac:dyDescent="0.25">
      <c r="A72" s="5"/>
      <c r="B72" s="5"/>
      <c r="C72" s="20"/>
      <c r="D72" s="20"/>
      <c r="E72" s="17">
        <f>SUM(E70:E71)</f>
        <v>6</v>
      </c>
      <c r="F72" s="5"/>
    </row>
    <row r="73" spans="1:7" s="2" customFormat="1" ht="14.45" customHeight="1" x14ac:dyDescent="0.25">
      <c r="A73" s="56" t="s">
        <v>177</v>
      </c>
      <c r="B73" s="57"/>
      <c r="C73" s="57"/>
      <c r="D73" s="57"/>
      <c r="E73" s="57"/>
      <c r="F73" s="57"/>
    </row>
    <row r="74" spans="1:7" s="2" customFormat="1" ht="14.45" customHeight="1" x14ac:dyDescent="0.25">
      <c r="A74" s="5" t="s">
        <v>149</v>
      </c>
      <c r="B74" s="5" t="s">
        <v>150</v>
      </c>
      <c r="C74" s="20">
        <v>3</v>
      </c>
      <c r="D74" s="20">
        <v>0</v>
      </c>
      <c r="E74" s="20">
        <f>SUM(C74:D74)</f>
        <v>3</v>
      </c>
      <c r="F74" s="5" t="s">
        <v>21</v>
      </c>
      <c r="G74" s="2" t="s">
        <v>108</v>
      </c>
    </row>
    <row r="75" spans="1:7" s="2" customFormat="1" ht="14.45" customHeight="1" x14ac:dyDescent="0.25">
      <c r="A75" s="56" t="s">
        <v>195</v>
      </c>
      <c r="B75" s="57"/>
      <c r="C75" s="57"/>
      <c r="D75" s="57"/>
      <c r="E75" s="57"/>
      <c r="F75" s="57"/>
    </row>
    <row r="76" spans="1:7" s="2" customFormat="1" ht="14.45" customHeight="1" x14ac:dyDescent="0.25">
      <c r="A76" s="5" t="s">
        <v>25</v>
      </c>
      <c r="B76" s="5" t="s">
        <v>143</v>
      </c>
      <c r="C76" s="8">
        <v>2</v>
      </c>
      <c r="D76" s="20">
        <v>0</v>
      </c>
      <c r="E76" s="20">
        <f>SUM(C76:D76)</f>
        <v>2</v>
      </c>
      <c r="F76" s="5" t="s">
        <v>11</v>
      </c>
      <c r="G76" s="2" t="s">
        <v>106</v>
      </c>
    </row>
    <row r="77" spans="1:7" s="2" customFormat="1" ht="14.45" customHeight="1" x14ac:dyDescent="0.25">
      <c r="A77" s="5" t="s">
        <v>41</v>
      </c>
      <c r="B77" s="5" t="s">
        <v>144</v>
      </c>
      <c r="C77" s="8">
        <v>2</v>
      </c>
      <c r="D77" s="20">
        <v>0</v>
      </c>
      <c r="E77" s="20">
        <f t="shared" ref="E77:E79" si="3">SUM(C77:D77)</f>
        <v>2</v>
      </c>
      <c r="F77" s="5" t="s">
        <v>25</v>
      </c>
      <c r="G77" s="2" t="s">
        <v>106</v>
      </c>
    </row>
    <row r="78" spans="1:7" s="2" customFormat="1" ht="33" x14ac:dyDescent="0.25">
      <c r="A78" s="5" t="s">
        <v>50</v>
      </c>
      <c r="B78" s="9" t="s">
        <v>196</v>
      </c>
      <c r="C78" s="20">
        <v>2</v>
      </c>
      <c r="D78" s="20">
        <v>0</v>
      </c>
      <c r="E78" s="20">
        <f t="shared" si="3"/>
        <v>2</v>
      </c>
      <c r="F78" s="5" t="s">
        <v>25</v>
      </c>
      <c r="G78" s="2" t="s">
        <v>106</v>
      </c>
    </row>
    <row r="79" spans="1:7" s="2" customFormat="1" ht="33" x14ac:dyDescent="0.25">
      <c r="A79" s="5" t="s">
        <v>58</v>
      </c>
      <c r="B79" s="9" t="s">
        <v>197</v>
      </c>
      <c r="C79" s="20">
        <v>2</v>
      </c>
      <c r="D79" s="20">
        <v>0</v>
      </c>
      <c r="E79" s="20">
        <f t="shared" si="3"/>
        <v>2</v>
      </c>
      <c r="F79" s="5" t="s">
        <v>25</v>
      </c>
      <c r="G79" s="2" t="s">
        <v>106</v>
      </c>
    </row>
    <row r="80" spans="1:7" s="2" customFormat="1" ht="16.5" x14ac:dyDescent="0.25">
      <c r="A80" s="5"/>
      <c r="B80" s="9"/>
      <c r="C80" s="20"/>
      <c r="D80" s="20"/>
      <c r="E80" s="20">
        <f>SUM(E76:E79)</f>
        <v>8</v>
      </c>
      <c r="F80" s="5"/>
    </row>
    <row r="81" spans="1:7" s="2" customFormat="1" ht="14.45" customHeight="1" x14ac:dyDescent="0.25">
      <c r="A81" s="56" t="s">
        <v>29</v>
      </c>
      <c r="B81" s="57"/>
      <c r="C81" s="57"/>
      <c r="D81" s="57"/>
      <c r="E81" s="57"/>
      <c r="F81" s="57"/>
    </row>
    <row r="82" spans="1:7" s="2" customFormat="1" ht="15" customHeight="1" x14ac:dyDescent="0.25">
      <c r="A82" s="5" t="s">
        <v>26</v>
      </c>
      <c r="B82" s="9" t="s">
        <v>27</v>
      </c>
      <c r="C82" s="10" t="s">
        <v>28</v>
      </c>
      <c r="D82" s="20">
        <v>0</v>
      </c>
      <c r="E82" s="10" t="s">
        <v>28</v>
      </c>
      <c r="F82" s="5" t="s">
        <v>11</v>
      </c>
      <c r="G82" s="2" t="s">
        <v>29</v>
      </c>
    </row>
    <row r="83" spans="1:7" s="2" customFormat="1" ht="33" x14ac:dyDescent="0.25">
      <c r="A83" s="5" t="s">
        <v>42</v>
      </c>
      <c r="B83" s="9" t="s">
        <v>43</v>
      </c>
      <c r="C83" s="10" t="s">
        <v>28</v>
      </c>
      <c r="D83" s="20">
        <v>0</v>
      </c>
      <c r="E83" s="10" t="s">
        <v>28</v>
      </c>
      <c r="F83" s="5" t="s">
        <v>26</v>
      </c>
      <c r="G83" s="2" t="s">
        <v>29</v>
      </c>
    </row>
    <row r="84" spans="1:7" s="2" customFormat="1" ht="14.45" customHeight="1" x14ac:dyDescent="0.25">
      <c r="A84" s="56" t="s">
        <v>178</v>
      </c>
      <c r="B84" s="57"/>
      <c r="C84" s="57"/>
      <c r="D84" s="57"/>
      <c r="E84" s="57"/>
      <c r="F84" s="57"/>
    </row>
    <row r="85" spans="1:7" s="2" customFormat="1" ht="14.45" customHeight="1" x14ac:dyDescent="0.25">
      <c r="A85" s="5" t="s">
        <v>67</v>
      </c>
      <c r="B85" s="5" t="s">
        <v>68</v>
      </c>
      <c r="C85" s="11">
        <v>3</v>
      </c>
      <c r="D85" s="20">
        <v>0</v>
      </c>
      <c r="E85" s="11" t="s">
        <v>28</v>
      </c>
      <c r="F85" s="5" t="s">
        <v>11</v>
      </c>
    </row>
    <row r="86" spans="1:7" s="2" customFormat="1" ht="14.45" customHeight="1" x14ac:dyDescent="0.25">
      <c r="A86" s="1"/>
      <c r="B86" s="1"/>
      <c r="C86" s="4"/>
      <c r="D86" s="4"/>
      <c r="E86" s="4"/>
      <c r="F86" s="1"/>
    </row>
    <row r="87" spans="1:7" s="2" customFormat="1" ht="14.45" customHeight="1" x14ac:dyDescent="0.25">
      <c r="A87" s="1"/>
      <c r="B87" s="1"/>
      <c r="C87" s="4"/>
      <c r="D87" s="4"/>
      <c r="E87" s="4"/>
      <c r="F87" s="1"/>
    </row>
    <row r="88" spans="1:7" s="2" customFormat="1" ht="14.45" customHeight="1" x14ac:dyDescent="0.25">
      <c r="A88" s="1"/>
      <c r="B88" s="5" t="s">
        <v>81</v>
      </c>
      <c r="C88" s="32"/>
      <c r="D88" s="4"/>
      <c r="E88" s="4"/>
      <c r="F88" s="1"/>
    </row>
    <row r="89" spans="1:7" s="2" customFormat="1" ht="14.45" customHeight="1" x14ac:dyDescent="0.25">
      <c r="A89" s="1"/>
      <c r="B89" s="12" t="s">
        <v>86</v>
      </c>
      <c r="C89" s="21">
        <v>27</v>
      </c>
      <c r="D89" s="4"/>
      <c r="E89" s="4"/>
      <c r="F89" s="1"/>
    </row>
    <row r="90" spans="1:7" s="2" customFormat="1" ht="14.45" customHeight="1" x14ac:dyDescent="0.25">
      <c r="A90" s="1"/>
      <c r="B90" s="12" t="s">
        <v>153</v>
      </c>
      <c r="C90" s="21">
        <v>6</v>
      </c>
      <c r="D90" s="4"/>
      <c r="E90" s="4"/>
      <c r="F90" s="1"/>
    </row>
    <row r="91" spans="1:7" s="2" customFormat="1" ht="14.45" customHeight="1" x14ac:dyDescent="0.25">
      <c r="A91" s="1"/>
      <c r="B91" s="12" t="s">
        <v>108</v>
      </c>
      <c r="C91" s="21">
        <v>3</v>
      </c>
      <c r="D91" s="4"/>
      <c r="E91" s="4"/>
      <c r="F91" s="1"/>
    </row>
    <row r="92" spans="1:7" s="2" customFormat="1" ht="14.45" customHeight="1" x14ac:dyDescent="0.25">
      <c r="A92" s="1"/>
      <c r="B92" s="12" t="s">
        <v>82</v>
      </c>
      <c r="C92" s="21">
        <v>8</v>
      </c>
      <c r="D92" s="4"/>
      <c r="E92" s="4"/>
      <c r="F92" s="1"/>
    </row>
    <row r="93" spans="1:7" s="2" customFormat="1" ht="14.45" customHeight="1" x14ac:dyDescent="0.25">
      <c r="A93" s="1"/>
      <c r="B93" s="12" t="s">
        <v>29</v>
      </c>
      <c r="C93" s="11" t="s">
        <v>83</v>
      </c>
      <c r="D93" s="4"/>
      <c r="E93" s="4"/>
      <c r="F93" s="1"/>
    </row>
    <row r="94" spans="1:7" s="2" customFormat="1" ht="14.45" customHeight="1" x14ac:dyDescent="0.25">
      <c r="A94" s="1"/>
      <c r="B94" s="5" t="s">
        <v>12</v>
      </c>
      <c r="C94" s="21">
        <v>18</v>
      </c>
      <c r="D94" s="4"/>
      <c r="E94" s="4"/>
      <c r="F94" s="1"/>
    </row>
    <row r="95" spans="1:7" s="2" customFormat="1" ht="14.45" customHeight="1" x14ac:dyDescent="0.25">
      <c r="A95" s="1"/>
      <c r="B95" s="5" t="s">
        <v>15</v>
      </c>
      <c r="C95" s="21">
        <v>51</v>
      </c>
      <c r="D95" s="4"/>
      <c r="E95" s="4"/>
      <c r="F95" s="1"/>
    </row>
    <row r="96" spans="1:7" s="2" customFormat="1" ht="14.45" customHeight="1" x14ac:dyDescent="0.25">
      <c r="A96" s="1"/>
      <c r="B96" s="5" t="s">
        <v>36</v>
      </c>
      <c r="C96" s="21">
        <v>42</v>
      </c>
      <c r="D96" s="4"/>
      <c r="E96" s="4"/>
      <c r="F96" s="1"/>
    </row>
    <row r="97" spans="1:6" s="2" customFormat="1" ht="14.45" customHeight="1" x14ac:dyDescent="0.25">
      <c r="A97" s="1"/>
      <c r="B97" s="5" t="s">
        <v>84</v>
      </c>
      <c r="C97" s="21">
        <v>9</v>
      </c>
      <c r="D97" s="4"/>
      <c r="E97" s="4"/>
      <c r="F97" s="1"/>
    </row>
    <row r="98" spans="1:6" s="2" customFormat="1" ht="14.45" customHeight="1" x14ac:dyDescent="0.25">
      <c r="A98" s="1"/>
      <c r="B98" s="5" t="s">
        <v>69</v>
      </c>
      <c r="C98" s="11" t="s">
        <v>28</v>
      </c>
      <c r="D98" s="4"/>
      <c r="E98" s="4"/>
      <c r="F98" s="1"/>
    </row>
    <row r="99" spans="1:6" s="2" customFormat="1" ht="14.45" customHeight="1" x14ac:dyDescent="0.25">
      <c r="A99" s="1"/>
      <c r="B99" s="13" t="s">
        <v>85</v>
      </c>
      <c r="C99" s="25">
        <f>SUM(C89:C98)</f>
        <v>164</v>
      </c>
      <c r="D99" s="4"/>
      <c r="E99" s="36">
        <f>SUM(E80,E74,E72,E68,E57,E49,E33,E15)</f>
        <v>164</v>
      </c>
      <c r="F99" s="14"/>
    </row>
    <row r="100" spans="1:6" s="2" customFormat="1" ht="14.45" customHeight="1" x14ac:dyDescent="0.25">
      <c r="A100" s="1"/>
      <c r="B100" s="1"/>
      <c r="C100" s="4"/>
      <c r="D100" s="4"/>
      <c r="E100" s="4"/>
      <c r="F100" s="1"/>
    </row>
    <row r="101" spans="1:6" s="2" customFormat="1" ht="14.45" customHeight="1" x14ac:dyDescent="0.25">
      <c r="A101" s="1"/>
      <c r="B101" s="1"/>
      <c r="C101" s="4"/>
      <c r="D101" s="4"/>
      <c r="E101" s="4"/>
      <c r="F101" s="1"/>
    </row>
    <row r="102" spans="1:6" s="2" customFormat="1" ht="14.45" customHeight="1" x14ac:dyDescent="0.25">
      <c r="A102" s="1" t="s">
        <v>132</v>
      </c>
      <c r="B102" s="1"/>
      <c r="C102" s="33" t="s">
        <v>133</v>
      </c>
      <c r="D102" s="4"/>
      <c r="E102" s="4"/>
      <c r="F102" s="1"/>
    </row>
    <row r="103" spans="1:6" s="2" customFormat="1" ht="14.45" customHeight="1" x14ac:dyDescent="0.25">
      <c r="A103" s="1"/>
      <c r="B103" s="1"/>
      <c r="C103" s="33"/>
      <c r="D103" s="4"/>
      <c r="E103" s="4"/>
      <c r="F103" s="1"/>
    </row>
    <row r="104" spans="1:6" s="2" customFormat="1" ht="14.45" customHeight="1" x14ac:dyDescent="0.25">
      <c r="A104" s="1"/>
      <c r="B104" s="1"/>
      <c r="C104" s="4"/>
      <c r="D104" s="4"/>
      <c r="E104" s="4"/>
      <c r="F104" s="1"/>
    </row>
    <row r="105" spans="1:6" s="2" customFormat="1" ht="14.45" customHeight="1" x14ac:dyDescent="0.25">
      <c r="A105" s="34" t="s">
        <v>140</v>
      </c>
      <c r="B105" s="1"/>
      <c r="C105" s="35" t="s">
        <v>198</v>
      </c>
      <c r="D105" s="4"/>
      <c r="E105" s="4"/>
      <c r="F105" s="1"/>
    </row>
    <row r="106" spans="1:6" s="2" customFormat="1" ht="14.45" customHeight="1" x14ac:dyDescent="0.25">
      <c r="A106" s="1" t="s">
        <v>141</v>
      </c>
      <c r="B106" s="1"/>
      <c r="C106" s="1" t="s">
        <v>134</v>
      </c>
      <c r="D106" s="4"/>
      <c r="E106" s="4"/>
      <c r="F106" s="1"/>
    </row>
    <row r="107" spans="1:6" s="2" customFormat="1" ht="14.45" customHeight="1" x14ac:dyDescent="0.25">
      <c r="A107" s="1"/>
      <c r="B107" s="1"/>
      <c r="C107" s="1"/>
      <c r="D107" s="4"/>
      <c r="E107" s="4"/>
      <c r="F107" s="1"/>
    </row>
    <row r="108" spans="1:6" s="2" customFormat="1" ht="14.45" customHeight="1" x14ac:dyDescent="0.25">
      <c r="A108" s="1"/>
      <c r="B108" s="1"/>
      <c r="C108" s="4"/>
      <c r="D108" s="4"/>
      <c r="E108" s="4"/>
      <c r="F108" s="1"/>
    </row>
    <row r="109" spans="1:6" s="2" customFormat="1" ht="14.45" customHeight="1" x14ac:dyDescent="0.25">
      <c r="A109" s="34" t="s">
        <v>135</v>
      </c>
      <c r="B109" s="1"/>
      <c r="C109" s="33"/>
      <c r="D109" s="4"/>
      <c r="E109" s="4"/>
      <c r="F109" s="1"/>
    </row>
    <row r="110" spans="1:6" s="2" customFormat="1" ht="14.45" customHeight="1" x14ac:dyDescent="0.25">
      <c r="A110" s="1" t="s">
        <v>136</v>
      </c>
      <c r="B110" s="1"/>
      <c r="C110" s="4"/>
      <c r="D110" s="4"/>
      <c r="E110" s="4"/>
      <c r="F110" s="1"/>
    </row>
    <row r="111" spans="1:6" s="2" customFormat="1" ht="14.45" customHeight="1" x14ac:dyDescent="0.25">
      <c r="A111" s="1"/>
      <c r="B111" s="1"/>
      <c r="C111" s="4"/>
      <c r="D111" s="4"/>
      <c r="E111" s="4"/>
      <c r="F111" s="1"/>
    </row>
    <row r="112" spans="1:6" s="2" customFormat="1" ht="14.45" customHeight="1" x14ac:dyDescent="0.25">
      <c r="A112" s="33" t="s">
        <v>137</v>
      </c>
      <c r="B112" s="1"/>
      <c r="C112" s="4"/>
      <c r="D112" s="4"/>
      <c r="E112" s="4"/>
      <c r="F112" s="1"/>
    </row>
    <row r="113" spans="1:6" s="2" customFormat="1" ht="14.45" customHeight="1" x14ac:dyDescent="0.25">
      <c r="A113" s="1"/>
      <c r="B113" s="1"/>
      <c r="C113" s="4"/>
      <c r="D113" s="4"/>
      <c r="E113" s="4"/>
      <c r="F113" s="1"/>
    </row>
    <row r="114" spans="1:6" s="2" customFormat="1" ht="14.45" customHeight="1" x14ac:dyDescent="0.25">
      <c r="A114" s="34" t="s">
        <v>138</v>
      </c>
      <c r="B114" s="1"/>
      <c r="C114" s="4"/>
      <c r="D114" s="4"/>
      <c r="E114" s="4"/>
      <c r="F114" s="1"/>
    </row>
    <row r="115" spans="1:6" s="2" customFormat="1" ht="14.45" customHeight="1" x14ac:dyDescent="0.25">
      <c r="A115" s="1" t="s">
        <v>139</v>
      </c>
      <c r="B115" s="1"/>
      <c r="C115" s="4"/>
      <c r="D115" s="4"/>
      <c r="E115" s="4"/>
      <c r="F115" s="1"/>
    </row>
    <row r="116" spans="1:6" s="2" customFormat="1" ht="14.45" customHeight="1" x14ac:dyDescent="0.25">
      <c r="C116" s="3"/>
      <c r="D116" s="3"/>
      <c r="E116" s="3"/>
    </row>
    <row r="117" spans="1:6" s="2" customFormat="1" ht="14.45" customHeight="1" x14ac:dyDescent="0.25">
      <c r="C117" s="3"/>
      <c r="D117" s="3"/>
      <c r="E117" s="3"/>
    </row>
    <row r="118" spans="1:6" s="2" customFormat="1" ht="14.45" customHeight="1" x14ac:dyDescent="0.25">
      <c r="C118" s="3"/>
      <c r="D118" s="3"/>
      <c r="E118" s="3"/>
    </row>
    <row r="119" spans="1:6" s="2" customFormat="1" ht="14.45" customHeight="1" x14ac:dyDescent="0.25">
      <c r="C119" s="3"/>
      <c r="D119" s="3"/>
      <c r="E119" s="3"/>
    </row>
    <row r="120" spans="1:6" s="2" customFormat="1" ht="14.45" customHeight="1" x14ac:dyDescent="0.25">
      <c r="C120" s="3"/>
      <c r="D120" s="3"/>
      <c r="E120" s="3"/>
    </row>
    <row r="121" spans="1:6" s="2" customFormat="1" ht="14.45" customHeight="1" x14ac:dyDescent="0.25">
      <c r="C121" s="3"/>
      <c r="D121" s="3"/>
      <c r="E121" s="3"/>
    </row>
    <row r="122" spans="1:6" s="2" customFormat="1" ht="14.45" customHeight="1" x14ac:dyDescent="0.25">
      <c r="C122" s="3"/>
      <c r="D122" s="3"/>
      <c r="E122" s="3"/>
    </row>
    <row r="123" spans="1:6" s="2" customFormat="1" ht="14.45" customHeight="1" x14ac:dyDescent="0.25">
      <c r="C123" s="3"/>
      <c r="D123" s="3"/>
      <c r="E123" s="3"/>
    </row>
    <row r="124" spans="1:6" s="2" customFormat="1" ht="14.45" customHeight="1" x14ac:dyDescent="0.25">
      <c r="C124" s="3"/>
      <c r="D124" s="3"/>
      <c r="E124" s="3"/>
    </row>
    <row r="125" spans="1:6" s="2" customFormat="1" ht="14.45" customHeight="1" x14ac:dyDescent="0.25">
      <c r="C125" s="3"/>
      <c r="D125" s="3"/>
      <c r="E125" s="3"/>
    </row>
    <row r="126" spans="1:6" s="2" customFormat="1" ht="14.45" customHeight="1" x14ac:dyDescent="0.25">
      <c r="C126" s="3"/>
      <c r="D126" s="3"/>
      <c r="E126" s="3"/>
    </row>
    <row r="127" spans="1:6" s="2" customFormat="1" ht="14.45" customHeight="1" x14ac:dyDescent="0.25">
      <c r="C127" s="3"/>
      <c r="D127" s="3"/>
      <c r="E127" s="3"/>
    </row>
    <row r="128" spans="1:6" s="2" customFormat="1" ht="14.45" customHeight="1" x14ac:dyDescent="0.25">
      <c r="C128" s="3"/>
      <c r="D128" s="3"/>
      <c r="E128" s="3"/>
    </row>
    <row r="129" spans="1:6" s="2" customFormat="1" ht="14.45" customHeight="1" x14ac:dyDescent="0.25">
      <c r="C129" s="3"/>
      <c r="D129" s="3"/>
      <c r="E129" s="3"/>
    </row>
    <row r="130" spans="1:6" s="2" customFormat="1" ht="14.45" customHeight="1" x14ac:dyDescent="0.25">
      <c r="C130" s="3"/>
      <c r="D130" s="3"/>
      <c r="E130" s="3"/>
    </row>
    <row r="131" spans="1:6" ht="14.45" customHeight="1" x14ac:dyDescent="0.25">
      <c r="A131" s="2"/>
      <c r="B131" s="2"/>
      <c r="C131" s="3"/>
      <c r="D131" s="3"/>
      <c r="E131" s="3"/>
      <c r="F131" s="2"/>
    </row>
    <row r="132" spans="1:6" ht="14.45" customHeight="1" x14ac:dyDescent="0.25">
      <c r="A132" s="2"/>
      <c r="B132" s="2"/>
      <c r="C132" s="3"/>
      <c r="D132" s="3"/>
      <c r="E132" s="3"/>
      <c r="F132" s="2"/>
    </row>
  </sheetData>
  <mergeCells count="16">
    <mergeCell ref="A6:F6"/>
    <mergeCell ref="A1:F1"/>
    <mergeCell ref="A2:F2"/>
    <mergeCell ref="A3:F3"/>
    <mergeCell ref="A4:F4"/>
    <mergeCell ref="A5:F5"/>
    <mergeCell ref="A73:F73"/>
    <mergeCell ref="A75:F75"/>
    <mergeCell ref="A81:F81"/>
    <mergeCell ref="A84:F84"/>
    <mergeCell ref="A8:F8"/>
    <mergeCell ref="A16:F16"/>
    <mergeCell ref="A34:F34"/>
    <mergeCell ref="A50:F50"/>
    <mergeCell ref="A58:F58"/>
    <mergeCell ref="A69:F69"/>
  </mergeCells>
  <printOptions horizontalCentered="1"/>
  <pageMargins left="0.23622047244094491" right="0.23622047244094491" top="0.23622047244094491" bottom="0.23622047244094491" header="0.31496062992125984" footer="0.31496062992125984"/>
  <pageSetup paperSize="256" scale="8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BSIS Curriculum</vt:lpstr>
      <vt:lpstr>Arrange By Category</vt:lpstr>
      <vt:lpstr>'Arrange By Category'!Print_Area</vt:lpstr>
      <vt:lpstr>'BSIS Curriculum'!Print_Area</vt:lpstr>
      <vt:lpstr>'Arrange By Category'!Print_Titles</vt:lpstr>
      <vt:lpstr>'BSIS Curriculum'!Print_Titles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Superio</dc:creator>
  <cp:lastModifiedBy>Mark Superio</cp:lastModifiedBy>
  <cp:lastPrinted>2019-10-15T10:25:42Z</cp:lastPrinted>
  <dcterms:created xsi:type="dcterms:W3CDTF">2018-05-09T00:29:56Z</dcterms:created>
  <dcterms:modified xsi:type="dcterms:W3CDTF">2023-05-09T15:00:56Z</dcterms:modified>
</cp:coreProperties>
</file>